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" sheetId="1" r:id="rId5"/>
  </sheets>
  <definedNames/>
  <calcPr/>
</workbook>
</file>

<file path=xl/sharedStrings.xml><?xml version="1.0" encoding="utf-8"?>
<sst xmlns="http://schemas.openxmlformats.org/spreadsheetml/2006/main" count="1285" uniqueCount="437">
  <si>
    <t>Identificación del gobierno nacional</t>
  </si>
  <si>
    <t>Puntaje por pilar</t>
  </si>
  <si>
    <t>Puntaje por dimensión</t>
  </si>
  <si>
    <t>Nivel de desarrollo según fuentes secundarias</t>
  </si>
  <si>
    <t>Puntaje admisible en áreas temáticas destacadas</t>
  </si>
  <si>
    <t>Ranking</t>
  </si>
  <si>
    <t>ISO3</t>
  </si>
  <si>
    <t>Country</t>
  </si>
  <si>
    <t>Pais</t>
  </si>
  <si>
    <t>GIRAI_region</t>
  </si>
  <si>
    <t>NU_region</t>
  </si>
  <si>
    <t>UN_subregion</t>
  </si>
  <si>
    <t>GIRAI</t>
  </si>
  <si>
    <t>mng</t>
  </si>
  <si>
    <t>ag</t>
  </si>
  <si>
    <t>ane</t>
  </si>
  <si>
    <t>ddhh</t>
  </si>
  <si>
    <t>gob</t>
  </si>
  <si>
    <t>cap</t>
  </si>
  <si>
    <t>sec_mng</t>
  </si>
  <si>
    <t>sec_ag</t>
  </si>
  <si>
    <t>sec_ane</t>
  </si>
  <si>
    <t>Dimensión mejor puntuada</t>
  </si>
  <si>
    <t>p70_sesgo</t>
  </si>
  <si>
    <t>p70_infancia</t>
  </si>
  <si>
    <t>p70_divers</t>
  </si>
  <si>
    <t>p70_datpers</t>
  </si>
  <si>
    <t>p70_genero</t>
  </si>
  <si>
    <t>p70_suphum</t>
  </si>
  <si>
    <t>p70_laboral</t>
  </si>
  <si>
    <t>p70_segu</t>
  </si>
  <si>
    <t>p70_transp</t>
  </si>
  <si>
    <t>areas_mng</t>
  </si>
  <si>
    <t>areas_ag</t>
  </si>
  <si>
    <t>areas_parlam</t>
  </si>
  <si>
    <t>areas_concient</t>
  </si>
  <si>
    <t>areas_ane</t>
  </si>
  <si>
    <t>academia</t>
  </si>
  <si>
    <t>tipo_academia_en</t>
  </si>
  <si>
    <t>tipo_academia_es</t>
  </si>
  <si>
    <t>privado</t>
  </si>
  <si>
    <t>tipo_privado_en</t>
  </si>
  <si>
    <t>tipo_privado_es</t>
  </si>
  <si>
    <t>AFG</t>
  </si>
  <si>
    <t>Afghanistan</t>
  </si>
  <si>
    <t>Afganistán</t>
  </si>
  <si>
    <t>Asia y Oceanía</t>
  </si>
  <si>
    <t>Asia</t>
  </si>
  <si>
    <t>Asia Meridional</t>
  </si>
  <si>
    <t>Muy bajo</t>
  </si>
  <si>
    <t>ALB</t>
  </si>
  <si>
    <t>Albania</t>
  </si>
  <si>
    <t>Europa</t>
  </si>
  <si>
    <t>Europa del Sur</t>
  </si>
  <si>
    <t>Alto</t>
  </si>
  <si>
    <t>DEU</t>
  </si>
  <si>
    <t>Germany</t>
  </si>
  <si>
    <t>Alemania</t>
  </si>
  <si>
    <t>Europa Occidental</t>
  </si>
  <si>
    <t>Muy alto</t>
  </si>
  <si>
    <t>ATG</t>
  </si>
  <si>
    <t>Antigua and Barbuda</t>
  </si>
  <si>
    <t>Antigua y Barbuda</t>
  </si>
  <si>
    <t>Caribe</t>
  </si>
  <si>
    <t>América</t>
  </si>
  <si>
    <t>América Latina y el Caribe</t>
  </si>
  <si>
    <t>SAU</t>
  </si>
  <si>
    <t>Saudi Arabia</t>
  </si>
  <si>
    <t>Arabia Saudita</t>
  </si>
  <si>
    <t>Medio Oriente</t>
  </si>
  <si>
    <t>Asia Occidental</t>
  </si>
  <si>
    <t>DZA</t>
  </si>
  <si>
    <t>Algeria</t>
  </si>
  <si>
    <t>Argelia</t>
  </si>
  <si>
    <t>África</t>
  </si>
  <si>
    <t>África del Norte</t>
  </si>
  <si>
    <t>Bajo</t>
  </si>
  <si>
    <t>ARG</t>
  </si>
  <si>
    <t>Argentina</t>
  </si>
  <si>
    <t>América del Sur y Central</t>
  </si>
  <si>
    <t>Medio</t>
  </si>
  <si>
    <t>ARM</t>
  </si>
  <si>
    <t>Armenia</t>
  </si>
  <si>
    <t>AUS</t>
  </si>
  <si>
    <t>Australia</t>
  </si>
  <si>
    <t>Oceanía</t>
  </si>
  <si>
    <t>Australia y Nueva Zelanda</t>
  </si>
  <si>
    <t>AUT</t>
  </si>
  <si>
    <t>Austria</t>
  </si>
  <si>
    <t>AZE</t>
  </si>
  <si>
    <t>Azerbaijan</t>
  </si>
  <si>
    <t>Azerbaiyán</t>
  </si>
  <si>
    <t>BRB</t>
  </si>
  <si>
    <t>Barbados</t>
  </si>
  <si>
    <t>BHR</t>
  </si>
  <si>
    <t>Bahrain</t>
  </si>
  <si>
    <t>Baréin</t>
  </si>
  <si>
    <t>BEL</t>
  </si>
  <si>
    <t>Belgium</t>
  </si>
  <si>
    <t>Bélgica</t>
  </si>
  <si>
    <t>BLZ</t>
  </si>
  <si>
    <t>Belize</t>
  </si>
  <si>
    <t>Belice</t>
  </si>
  <si>
    <t>BEN</t>
  </si>
  <si>
    <t>Benin</t>
  </si>
  <si>
    <t>Benín</t>
  </si>
  <si>
    <t>África Subsahariana</t>
  </si>
  <si>
    <t>BLR</t>
  </si>
  <si>
    <t>Belarus</t>
  </si>
  <si>
    <t>Bielorrusia</t>
  </si>
  <si>
    <t>Europa del Este</t>
  </si>
  <si>
    <t>BOL</t>
  </si>
  <si>
    <t>Bolivia (Plurinational State of)</t>
  </si>
  <si>
    <t>Bolivia (Estado Plurinacional de)</t>
  </si>
  <si>
    <t>BWA</t>
  </si>
  <si>
    <t>Botswana</t>
  </si>
  <si>
    <t>Botsuana</t>
  </si>
  <si>
    <t>BRA</t>
  </si>
  <si>
    <t>Brazil</t>
  </si>
  <si>
    <t>Brasil</t>
  </si>
  <si>
    <t>BGR</t>
  </si>
  <si>
    <t>Bulgaria</t>
  </si>
  <si>
    <t>BFA</t>
  </si>
  <si>
    <t>Burkina Faso</t>
  </si>
  <si>
    <t>BDI</t>
  </si>
  <si>
    <t>Burundi</t>
  </si>
  <si>
    <t>BTN</t>
  </si>
  <si>
    <t>Bhutan</t>
  </si>
  <si>
    <t>Bután</t>
  </si>
  <si>
    <t>KHM</t>
  </si>
  <si>
    <t>Cambodia</t>
  </si>
  <si>
    <t>Camboya</t>
  </si>
  <si>
    <t>Sudeste Asiático</t>
  </si>
  <si>
    <t>CMR</t>
  </si>
  <si>
    <t>Cameroon</t>
  </si>
  <si>
    <t>Camerún</t>
  </si>
  <si>
    <t>CAN</t>
  </si>
  <si>
    <t>Canada</t>
  </si>
  <si>
    <t>Canadá</t>
  </si>
  <si>
    <t>América del Norte</t>
  </si>
  <si>
    <t>QAT</t>
  </si>
  <si>
    <t>Qatar</t>
  </si>
  <si>
    <t>Catar</t>
  </si>
  <si>
    <t>TCD</t>
  </si>
  <si>
    <t>Chad</t>
  </si>
  <si>
    <t>CHL</t>
  </si>
  <si>
    <t>Chile</t>
  </si>
  <si>
    <t>CHN</t>
  </si>
  <si>
    <t>China</t>
  </si>
  <si>
    <t>Asia Oriental</t>
  </si>
  <si>
    <t>COL</t>
  </si>
  <si>
    <t>Colombia</t>
  </si>
  <si>
    <t>CRI</t>
  </si>
  <si>
    <t>Costa Rica</t>
  </si>
  <si>
    <t>CIV</t>
  </si>
  <si>
    <t>Côte dIvoire</t>
  </si>
  <si>
    <t>Côte d'Ivoire (Costa de Marfil)</t>
  </si>
  <si>
    <t>HRV</t>
  </si>
  <si>
    <t>Croatia</t>
  </si>
  <si>
    <t>Croacia</t>
  </si>
  <si>
    <t>ECU</t>
  </si>
  <si>
    <t>Ecuador</t>
  </si>
  <si>
    <t>EGY</t>
  </si>
  <si>
    <t>Egypt</t>
  </si>
  <si>
    <t>Egipto</t>
  </si>
  <si>
    <t>SLV</t>
  </si>
  <si>
    <t>El Salvador</t>
  </si>
  <si>
    <t>ARE</t>
  </si>
  <si>
    <t>United Arab Emirates</t>
  </si>
  <si>
    <t>Emiratos Árabes Unidos</t>
  </si>
  <si>
    <t>ERI</t>
  </si>
  <si>
    <t>Eritrea</t>
  </si>
  <si>
    <t>SVK</t>
  </si>
  <si>
    <t>Slovakia</t>
  </si>
  <si>
    <t>Eslovaquia</t>
  </si>
  <si>
    <t>SVN</t>
  </si>
  <si>
    <t>Slovenia</t>
  </si>
  <si>
    <t>Eslovenia</t>
  </si>
  <si>
    <t>ESP</t>
  </si>
  <si>
    <t>Spain</t>
  </si>
  <si>
    <t>España</t>
  </si>
  <si>
    <t>USA</t>
  </si>
  <si>
    <t>United States of America</t>
  </si>
  <si>
    <t>Estados Unidos de América</t>
  </si>
  <si>
    <t>EST</t>
  </si>
  <si>
    <t>Estonia</t>
  </si>
  <si>
    <t>Europa del Norte</t>
  </si>
  <si>
    <t>ETH</t>
  </si>
  <si>
    <t>Ethiopia</t>
  </si>
  <si>
    <t>Etiopía</t>
  </si>
  <si>
    <t>PHL</t>
  </si>
  <si>
    <t>Philippines</t>
  </si>
  <si>
    <t>Filipinas</t>
  </si>
  <si>
    <t>FIN</t>
  </si>
  <si>
    <t>Finland</t>
  </si>
  <si>
    <t>Finlandia</t>
  </si>
  <si>
    <t>FRA</t>
  </si>
  <si>
    <t>France</t>
  </si>
  <si>
    <t>Francia</t>
  </si>
  <si>
    <t>GAB</t>
  </si>
  <si>
    <t>Gabon</t>
  </si>
  <si>
    <t>Gabón</t>
  </si>
  <si>
    <t>GMB</t>
  </si>
  <si>
    <t>Gambia</t>
  </si>
  <si>
    <t>GEO</t>
  </si>
  <si>
    <t>Georgia</t>
  </si>
  <si>
    <t>GHA</t>
  </si>
  <si>
    <t>Ghana</t>
  </si>
  <si>
    <t>GRC</t>
  </si>
  <si>
    <t>Greece</t>
  </si>
  <si>
    <t>Grecia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</si>
  <si>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</si>
  <si>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</si>
  <si>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</si>
  <si>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</si>
  <si>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</si>
  <si>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</si>
  <si>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</si>
  <si>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</si>
  <si>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Haití</t>
  </si>
  <si>
    <t>HND</t>
  </si>
  <si>
    <t>Honduras</t>
  </si>
  <si>
    <t>HKG</t>
  </si>
  <si>
    <t>China, Hong Kong Special Administrative Region</t>
  </si>
  <si>
    <t>Hong Kong (RAE de China)</t>
  </si>
  <si>
    <t>HUN</t>
  </si>
  <si>
    <t>Hungary</t>
  </si>
  <si>
    <t>Hungría</t>
  </si>
  <si>
    <t>IND</t>
  </si>
  <si>
    <t>India</t>
  </si>
  <si>
    <t>IDN</t>
  </si>
  <si>
    <t>Indonesia</t>
  </si>
  <si>
    <t>IRL</t>
  </si>
  <si>
    <t>Ireland</t>
  </si>
  <si>
    <t>Irlanda</t>
  </si>
  <si>
    <t>ITA</t>
  </si>
  <si>
    <t>Italy</t>
  </si>
  <si>
    <t>Italia</t>
  </si>
  <si>
    <t>JAM</t>
  </si>
  <si>
    <t>Jamaica</t>
  </si>
  <si>
    <t>JPN</t>
  </si>
  <si>
    <t>Japan</t>
  </si>
  <si>
    <t>Japón</t>
  </si>
  <si>
    <t>JOR</t>
  </si>
  <si>
    <t>Jordan</t>
  </si>
  <si>
    <t>Jordania</t>
  </si>
  <si>
    <t>KAZ</t>
  </si>
  <si>
    <t>Kazakhstan</t>
  </si>
  <si>
    <t>Kazajistán</t>
  </si>
  <si>
    <t>Asia Central</t>
  </si>
  <si>
    <t>KEN</t>
  </si>
  <si>
    <t>Kenya</t>
  </si>
  <si>
    <t>Kenia</t>
  </si>
  <si>
    <t>XKX</t>
  </si>
  <si>
    <t>Kosovo</t>
  </si>
  <si>
    <t>KWT</t>
  </si>
  <si>
    <t>Kuwait</t>
  </si>
  <si>
    <t>LSO</t>
  </si>
  <si>
    <t>Lesotho</t>
  </si>
  <si>
    <t>Lesoto</t>
  </si>
  <si>
    <t>LVA</t>
  </si>
  <si>
    <t>Latvia</t>
  </si>
  <si>
    <t>Letonia</t>
  </si>
  <si>
    <t>LBN</t>
  </si>
  <si>
    <t>Lebanon</t>
  </si>
  <si>
    <t>Líbano</t>
  </si>
  <si>
    <t>LBR</t>
  </si>
  <si>
    <t>Liberia</t>
  </si>
  <si>
    <t>LBY</t>
  </si>
  <si>
    <t>Libya</t>
  </si>
  <si>
    <t>Libia</t>
  </si>
  <si>
    <t>LTU</t>
  </si>
  <si>
    <t>Lithuania</t>
  </si>
  <si>
    <t>Lituania</t>
  </si>
  <si>
    <t>MKD</t>
  </si>
  <si>
    <t>North Macedonia</t>
  </si>
  <si>
    <t>Macedonia del Norte</t>
  </si>
  <si>
    <t>MYS</t>
  </si>
  <si>
    <t>Malaysia</t>
  </si>
  <si>
    <t>Malasia</t>
  </si>
  <si>
    <t>MWI</t>
  </si>
  <si>
    <t>Malawi</t>
  </si>
  <si>
    <t>Malaui</t>
  </si>
  <si>
    <t>MLI</t>
  </si>
  <si>
    <t>Mali</t>
  </si>
  <si>
    <t>Malí</t>
  </si>
  <si>
    <t>MAR</t>
  </si>
  <si>
    <t>Morocco</t>
  </si>
  <si>
    <t>Marruecos</t>
  </si>
  <si>
    <t>MUS</t>
  </si>
  <si>
    <t>Mauritius</t>
  </si>
  <si>
    <t>Mauricio</t>
  </si>
  <si>
    <t>MEX</t>
  </si>
  <si>
    <t>Mexico</t>
  </si>
  <si>
    <t>México</t>
  </si>
  <si>
    <t>MNG</t>
  </si>
  <si>
    <t>Mongolia</t>
  </si>
  <si>
    <t>MNE</t>
  </si>
  <si>
    <t>Montenegro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</si>
  <si>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</si>
  <si>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</si>
  <si>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</si>
  <si>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</si>
  <si>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</si>
  <si>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</si>
  <si>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</si>
  <si>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</si>
  <si>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NER</t>
  </si>
  <si>
    <t>Niger</t>
  </si>
  <si>
    <t>Níger</t>
  </si>
  <si>
    <t>NGA</t>
  </si>
  <si>
    <t>Nigeria</t>
  </si>
  <si>
    <t>NZL</t>
  </si>
  <si>
    <t>New Zealand</t>
  </si>
  <si>
    <t>Nueva Zelanda</t>
  </si>
  <si>
    <t>OMN</t>
  </si>
  <si>
    <t>Oman</t>
  </si>
  <si>
    <t>Omán</t>
  </si>
  <si>
    <t>NLD</t>
  </si>
  <si>
    <t>Netherlands</t>
  </si>
  <si>
    <t>Países Bajos</t>
  </si>
  <si>
    <t>PAK</t>
  </si>
  <si>
    <t>Pakistan</t>
  </si>
  <si>
    <t>Pakistán</t>
  </si>
  <si>
    <t>PSE</t>
  </si>
  <si>
    <t>Palestine</t>
  </si>
  <si>
    <t>Palestina</t>
  </si>
  <si>
    <t>PAN</t>
  </si>
  <si>
    <t>Panama</t>
  </si>
  <si>
    <t>Panamá</t>
  </si>
  <si>
    <t>PRY</t>
  </si>
  <si>
    <t>Paraguay</t>
  </si>
  <si>
    <t>PER</t>
  </si>
  <si>
    <t>Peru</t>
  </si>
  <si>
    <t>Perú</t>
  </si>
  <si>
    <t>POL</t>
  </si>
  <si>
    <t>Poland</t>
  </si>
  <si>
    <t>Polonia</t>
  </si>
  <si>
    <t>PRT</t>
  </si>
  <si>
    <t>Portugal</t>
  </si>
  <si>
    <t>GBR</t>
  </si>
  <si>
    <t>United Kingdom of Great Britain and Northern Ireland</t>
  </si>
  <si>
    <t>Reino Unido de Gran Bretaña e Irlanda del Norte</t>
  </si>
  <si>
    <t>CAF</t>
  </si>
  <si>
    <t>Central African Republic</t>
  </si>
  <si>
    <t>República Centroafricana</t>
  </si>
  <si>
    <t>KOR</t>
  </si>
  <si>
    <t>Republic of Korea</t>
  </si>
  <si>
    <t>República de Corea</t>
  </si>
  <si>
    <t>MDA</t>
  </si>
  <si>
    <t>Republic of Moldova</t>
  </si>
  <si>
    <t>República de Moldavia</t>
  </si>
  <si>
    <t>COD</t>
  </si>
  <si>
    <t>Democratic Republic of the Congo</t>
  </si>
  <si>
    <t>República Democrática del Congo</t>
  </si>
  <si>
    <t>LAO</t>
  </si>
  <si>
    <t>Lao Peoples Democratic Republic</t>
  </si>
  <si>
    <t>República Democrática Popular Lao</t>
  </si>
  <si>
    <t>DOM</t>
  </si>
  <si>
    <t>Dominican Republic</t>
  </si>
  <si>
    <t>República Dominicana</t>
  </si>
  <si>
    <t>KGZ</t>
  </si>
  <si>
    <t>Kyrgyz Republic</t>
  </si>
  <si>
    <t>República Kirguisa</t>
  </si>
  <si>
    <t>TZA</t>
  </si>
  <si>
    <t>United Republic of Tanzania</t>
  </si>
  <si>
    <t>República Unida de Tanzania</t>
  </si>
  <si>
    <t>RWA</t>
  </si>
  <si>
    <t>Rwanda</t>
  </si>
  <si>
    <t>Ruanda</t>
  </si>
  <si>
    <t>ROU</t>
  </si>
  <si>
    <t>Romania</t>
  </si>
  <si>
    <t>Rumania</t>
  </si>
  <si>
    <t>LCA</t>
  </si>
  <si>
    <t>Saint Lucia</t>
  </si>
  <si>
    <t>Santa Lucía</t>
  </si>
  <si>
    <t>SEN</t>
  </si>
  <si>
    <t>Senegal</t>
  </si>
  <si>
    <t>SRB</t>
  </si>
  <si>
    <t>Serbia</t>
  </si>
  <si>
    <t>SLE</t>
  </si>
  <si>
    <t>Sierra Leone</t>
  </si>
  <si>
    <t>Sierra Leona</t>
  </si>
  <si>
    <t>SGP</t>
  </si>
  <si>
    <t>Singapore</t>
  </si>
  <si>
    <t>Singapur</t>
  </si>
  <si>
    <t>SOM</t>
  </si>
  <si>
    <t>Somalia</t>
  </si>
  <si>
    <t>LKA</t>
  </si>
  <si>
    <t>Sri Lanka</t>
  </si>
  <si>
    <t>ZAF</t>
  </si>
  <si>
    <t>South Africa</t>
  </si>
  <si>
    <t>Sudáfrica</t>
  </si>
  <si>
    <t>SSD</t>
  </si>
  <si>
    <t>South Sudan</t>
  </si>
  <si>
    <t>Sudán del Sur</t>
  </si>
  <si>
    <t>CHE</t>
  </si>
  <si>
    <t>Switzerland</t>
  </si>
  <si>
    <t>Suiza</t>
  </si>
  <si>
    <t>THA</t>
  </si>
  <si>
    <t>Thailand</t>
  </si>
  <si>
    <t>Tailandia</t>
  </si>
  <si>
    <t>TWN</t>
  </si>
  <si>
    <t>Taiwan</t>
  </si>
  <si>
    <t>Taiwán</t>
  </si>
  <si>
    <t>TJK</t>
  </si>
  <si>
    <t>Tajikistan</t>
  </si>
  <si>
    <t>Tayikistán</t>
  </si>
  <si>
    <t>TGO</t>
  </si>
  <si>
    <t>Togo</t>
  </si>
  <si>
    <t>TTO</t>
  </si>
  <si>
    <t>Trinidad and Tobago</t>
  </si>
  <si>
    <t>Trinidad y Tobago</t>
  </si>
  <si>
    <t>TUN</t>
  </si>
  <si>
    <t>Tunisia</t>
  </si>
  <si>
    <t>Túnez</t>
  </si>
  <si>
    <t>TKM</t>
  </si>
  <si>
    <t>Turkmenistan</t>
  </si>
  <si>
    <t>Turkmenistán</t>
  </si>
  <si>
    <t>UKR</t>
  </si>
  <si>
    <t>Ukraine</t>
  </si>
  <si>
    <t>Ucrania</t>
  </si>
  <si>
    <t>UGA</t>
  </si>
  <si>
    <t>Uganda</t>
  </si>
  <si>
    <t>URY</t>
  </si>
  <si>
    <t>Uruguay</t>
  </si>
  <si>
    <t>UZB</t>
  </si>
  <si>
    <t>Uzbekistan</t>
  </si>
  <si>
    <t>Uzbekistán</t>
  </si>
  <si>
    <t>VNM</t>
  </si>
  <si>
    <t>Viet Nam</t>
  </si>
  <si>
    <t>Vietnam</t>
  </si>
  <si>
    <t>ZMB</t>
  </si>
  <si>
    <t>Zambia</t>
  </si>
  <si>
    <t>ZWE</t>
  </si>
  <si>
    <t>Zimbabwe</t>
  </si>
  <si>
    <t>Zimbabue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</si>
</sst>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left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3" fillId="0" fontId="1" numFmtId="2" xfId="0" applyAlignment="1" applyBorder="1" applyFont="1" applyNumberFormat="1">
      <alignment horizontal="center" vertical="center"/>
    </xf>
    <xf borderId="4" fillId="3" fontId="1" numFmtId="2" xfId="0" applyAlignment="1" applyBorder="1" applyFill="1" applyFont="1" applyNumberForma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4" fillId="4" fontId="1" numFmtId="2" xfId="0" applyAlignment="1" applyBorder="1" applyFill="1" applyFont="1" applyNumberFormat="1">
      <alignment horizontal="center" readingOrder="0" vertical="center"/>
    </xf>
    <xf borderId="4" fillId="5" fontId="1" numFmtId="2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6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readingOrder="0" shrinkToFit="0" vertical="center" wrapText="1"/>
    </xf>
    <xf borderId="3" fillId="0" fontId="1" numFmtId="2" xfId="0" applyAlignment="1" applyBorder="1" applyFont="1" applyNumberFormat="1">
      <alignment horizontal="center" readingOrder="0" shrinkToFit="0" vertical="center" wrapText="1"/>
    </xf>
    <xf borderId="6" fillId="3" fontId="1" numFmtId="2" xfId="0" applyAlignment="1" applyBorder="1" applyFont="1" applyNumberFormat="1">
      <alignment horizontal="center" readingOrder="0" shrinkToFit="0" vertical="center" wrapText="1"/>
    </xf>
    <xf borderId="6" fillId="4" fontId="1" numFmtId="2" xfId="0" applyAlignment="1" applyBorder="1" applyFont="1" applyNumberFormat="1">
      <alignment horizontal="center" readingOrder="0" shrinkToFit="0" vertical="center" wrapText="1"/>
    </xf>
    <xf borderId="0" fillId="5" fontId="1" numFmtId="2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7" fillId="0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vertical="center"/>
    </xf>
    <xf borderId="6" fillId="2" fontId="3" numFmtId="0" xfId="0" applyAlignment="1" applyBorder="1" applyFont="1">
      <alignment readingOrder="0" vertical="center"/>
    </xf>
    <xf borderId="6" fillId="0" fontId="3" numFmtId="2" xfId="0" applyAlignment="1" applyBorder="1" applyFont="1" applyNumberFormat="1">
      <alignment horizontal="center" vertical="center"/>
    </xf>
    <xf borderId="6" fillId="3" fontId="3" numFmtId="2" xfId="0" applyAlignment="1" applyBorder="1" applyFont="1" applyNumberFormat="1">
      <alignment horizontal="center" vertical="center"/>
    </xf>
    <xf borderId="6" fillId="4" fontId="3" numFmtId="2" xfId="0" applyAlignment="1" applyBorder="1" applyFont="1" applyNumberFormat="1">
      <alignment horizontal="center" vertical="center"/>
    </xf>
    <xf borderId="0" fillId="5" fontId="3" numFmtId="2" xfId="0" applyAlignment="1" applyFont="1" applyNumberFormat="1">
      <alignment horizontal="center" vertical="center"/>
    </xf>
    <xf borderId="0" fillId="0" fontId="3" numFmtId="2" xfId="0" applyAlignment="1" applyFont="1" applyNumberFormat="1">
      <alignment vertical="center"/>
    </xf>
    <xf borderId="0" fillId="6" fontId="3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7.88"/>
    <col customWidth="1" min="2" max="2" width="9.0"/>
    <col customWidth="1" min="5" max="5" width="17.75"/>
    <col customWidth="1" min="7" max="7" width="27.13"/>
    <col customWidth="1" min="18" max="18" width="17.63"/>
    <col customWidth="1" min="28" max="28" width="17.25"/>
  </cols>
  <sheetData>
    <row r="1">
      <c r="A1" s="1"/>
      <c r="B1" s="2" t="s">
        <v>0</v>
      </c>
      <c r="C1" s="3"/>
      <c r="D1" s="3"/>
      <c r="E1" s="3"/>
      <c r="F1" s="3"/>
      <c r="G1" s="4"/>
      <c r="H1" s="5"/>
      <c r="I1" s="6" t="s">
        <v>1</v>
      </c>
      <c r="J1" s="7"/>
      <c r="K1" s="8"/>
      <c r="L1" s="9" t="s">
        <v>2</v>
      </c>
      <c r="M1" s="7"/>
      <c r="N1" s="8"/>
      <c r="O1" s="10" t="s">
        <v>3</v>
      </c>
      <c r="P1" s="7"/>
      <c r="Q1" s="8"/>
      <c r="R1" s="11"/>
      <c r="S1" s="12" t="s">
        <v>4</v>
      </c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>
      <c r="A2" s="14" t="s">
        <v>5</v>
      </c>
      <c r="B2" s="15" t="s">
        <v>6</v>
      </c>
      <c r="C2" s="16" t="s">
        <v>7</v>
      </c>
      <c r="D2" s="17" t="s">
        <v>8</v>
      </c>
      <c r="E2" s="16" t="s">
        <v>9</v>
      </c>
      <c r="F2" s="17" t="s">
        <v>10</v>
      </c>
      <c r="G2" s="16" t="s">
        <v>11</v>
      </c>
      <c r="H2" s="18" t="s">
        <v>12</v>
      </c>
      <c r="I2" s="19" t="s">
        <v>13</v>
      </c>
      <c r="J2" s="19" t="s">
        <v>14</v>
      </c>
      <c r="K2" s="19" t="s">
        <v>15</v>
      </c>
      <c r="L2" s="20" t="s">
        <v>16</v>
      </c>
      <c r="M2" s="20" t="s">
        <v>17</v>
      </c>
      <c r="N2" s="20" t="s">
        <v>18</v>
      </c>
      <c r="O2" s="21" t="s">
        <v>19</v>
      </c>
      <c r="P2" s="21" t="s">
        <v>20</v>
      </c>
      <c r="Q2" s="21" t="s">
        <v>21</v>
      </c>
      <c r="R2" s="22" t="s">
        <v>22</v>
      </c>
      <c r="S2" s="23" t="s">
        <v>23</v>
      </c>
      <c r="T2" s="23" t="s">
        <v>24</v>
      </c>
      <c r="U2" s="23" t="s">
        <v>25</v>
      </c>
      <c r="V2" s="23" t="s">
        <v>26</v>
      </c>
      <c r="W2" s="23" t="s">
        <v>27</v>
      </c>
      <c r="X2" s="23" t="s">
        <v>28</v>
      </c>
      <c r="Y2" s="23" t="s">
        <v>29</v>
      </c>
      <c r="Z2" s="23" t="s">
        <v>30</v>
      </c>
      <c r="AA2" s="23" t="s">
        <v>31</v>
      </c>
      <c r="AB2" s="22" t="s">
        <v>32</v>
      </c>
      <c r="AC2" s="22" t="s">
        <v>33</v>
      </c>
      <c r="AD2" s="22" t="s">
        <v>34</v>
      </c>
      <c r="AE2" s="22" t="s">
        <v>35</v>
      </c>
      <c r="AF2" s="22" t="s">
        <v>36</v>
      </c>
      <c r="AG2" s="22" t="s">
        <v>37</v>
      </c>
      <c r="AH2" s="22" t="s">
        <v>38</v>
      </c>
      <c r="AI2" s="22" t="s">
        <v>39</v>
      </c>
      <c r="AJ2" s="22" t="s">
        <v>40</v>
      </c>
      <c r="AK2" s="22" t="s">
        <v>41</v>
      </c>
      <c r="AL2" s="22" t="s">
        <v>42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</row>
    <row r="3">
      <c r="A3" s="25">
        <v>135.0</v>
      </c>
      <c r="B3" s="26" t="s">
        <v>43</v>
      </c>
      <c r="C3" s="27" t="s">
        <v>44</v>
      </c>
      <c r="D3" s="28" t="s">
        <v>45</v>
      </c>
      <c r="E3" s="28" t="s">
        <v>46</v>
      </c>
      <c r="F3" s="28" t="s">
        <v>47</v>
      </c>
      <c r="G3" s="28" t="s">
        <v>48</v>
      </c>
      <c r="H3" s="29">
        <v>0.5742303847639185</v>
      </c>
      <c r="I3" s="30">
        <v>0.0</v>
      </c>
      <c r="J3" s="30">
        <v>1.4355759619097963</v>
      </c>
      <c r="K3" s="30">
        <v>0.0</v>
      </c>
      <c r="L3" s="31">
        <v>0.0</v>
      </c>
      <c r="M3" s="31">
        <v>0.0</v>
      </c>
      <c r="N3" s="31">
        <v>3.6366666666666667</v>
      </c>
      <c r="O3" s="32" t="s">
        <v>49</v>
      </c>
      <c r="P3" s="32" t="s">
        <v>49</v>
      </c>
      <c r="Q3" s="32" t="s">
        <v>49</v>
      </c>
      <c r="R3" s="33" t="str">
        <f t="shared" ref="R3:R140" si="1">XLOOKUP(max(L3:N3),L3:N3,$L$2:$N$2,"",0)</f>
        <v>cap</v>
      </c>
      <c r="S3" s="34" t="str">
        <f>IFERROR(__xludf.DUMMYFUNCTION("IF(query(Data!A:M,CONCATENATE(""select Col13 where Col1 = '"",C3,""' and Col8 = 'Bias and Unfair Discrimination'""),0)&gt;70,1,0)"),"#REF!")</f>
        <v>#REF!</v>
      </c>
      <c r="T3" s="34" t="str">
        <f>IFERROR(__xludf.DUMMYFUNCTION("IF(query(Data!A:M,CONCATENATE(""select Col13 where Col1 = '"",C3,""' and Col8 = 'Childrens Rights'""),0)&gt;70,1,0)"),"#REF!")</f>
        <v>#REF!</v>
      </c>
      <c r="U3" s="34" t="str">
        <f>IFERROR(__xludf.DUMMYFUNCTION("IF(query(Data!A:M,CONCATENATE(""select Col13 where Col1 = '"",C3,""' and Col8 = 'Cultural and Linguistic Diversity'""),0)&gt;70,1,0)"),"#REF!")</f>
        <v>#REF!</v>
      </c>
      <c r="V3" s="34" t="str">
        <f>IFERROR(__xludf.DUMMYFUNCTION("IF(query(Data!A:M,CONCATENATE(""select Col13 where Col1 = '"",C3,""' and Col8 = 'Data Protection and Privacy'""),0)&gt;70,1,0)"),"#REF!")</f>
        <v>#REF!</v>
      </c>
      <c r="W3" s="34" t="str">
        <f>IFERROR(__xludf.DUMMYFUNCTION("IF(query(Data!A:M,CONCATENATE(""select Col13 where Col1 = '"",C3,""' and Col8 = 'Gender Equality'""),0)&gt;70,1,0)"),"#REF!")</f>
        <v>#REF!</v>
      </c>
      <c r="X3" s="34" t="str">
        <f>IFERROR(__xludf.DUMMYFUNCTION("IF(query(Data!A:M,CONCATENATE(""select Col13 where Col1 = '"",C3,""' and Col8 = 'Human Oversight and Determination'""),0)&gt;70,1,0)"),"#REF!")</f>
        <v>#REF!</v>
      </c>
      <c r="Y3" s="34" t="str">
        <f>IFERROR(__xludf.DUMMYFUNCTION("IF(query(Data!A:M,CONCATENATE(""select Col13 where Col1 = '"",C3,""' and Col8 = 'Labour Protection and Right to Work'""),0)&gt;70,1,0)"),"#REF!")</f>
        <v>#REF!</v>
      </c>
      <c r="Z3" s="34" t="str">
        <f>IFERROR(__xludf.DUMMYFUNCTION("IF(query(Data!A:M,CONCATENATE(""select Col13 where Col1 = '"",C3,""' and Col8 = 'Safety, Accuracy and Reliability'""),0)&gt;70,1,0)"),"#REF!")</f>
        <v>#REF!</v>
      </c>
      <c r="AA3" s="34" t="str">
        <f>IFERROR(__xludf.DUMMYFUNCTION("IF(query(Data!A:M,CONCATENATE(""select Col13 where Col1 = '"",C3,""' and Col8 = 'Transparency and Explainability'""),0)&gt;70,1,0)"),"#REF!")</f>
        <v>#REF!</v>
      </c>
      <c r="AB3" s="35">
        <f t="shared" ref="AB3:AB140" si="2">COUNTIFS(Data!AF:AF,"1",Data!A:A,C3)</f>
        <v>0</v>
      </c>
      <c r="AC3" s="35">
        <f t="shared" ref="AC3:AC140" si="3">COUNTIFS(Data!X:X,"&gt;0",Data!A:A,C3)</f>
        <v>0</v>
      </c>
      <c r="AD3" s="35">
        <f t="shared" ref="AD3:AD140" si="4">COUNTIFS(Data!AJ:AJ,"12",Data!A:A,C3)</f>
        <v>0</v>
      </c>
      <c r="AE3" s="35">
        <f t="shared" ref="AE3:AE140" si="5">COUNTIFS(Data!AJ:AJ,"17",Data!A:A,C3)</f>
        <v>0</v>
      </c>
      <c r="AF3" s="35">
        <f t="shared" ref="AF3:AF140" si="6">COUNTIFS(Data!Y:Y,"&gt;0",Data!A:A,C3)</f>
        <v>0</v>
      </c>
      <c r="AG3" s="35" t="str">
        <f t="shared" ref="AG3:AG140" si="7">IF(COUNTIFS(Data!AO:AO,"1",Data!A:A,C3)&gt;0,"Sí","No")</f>
        <v>No</v>
      </c>
      <c r="AH3" s="35" t="str">
        <f>IFERROR(__xludf.DUMMYFUNCTION("IFERROR(query(query(Data!A:BS,CONCATENATE(""select Col50, count(Col49) where Col1 = '"",C3,""' group by Col50"")), CONCATENATE(""select Col1 where Col2 = "",query(query(query(Data!A:BS,CONCATENATE(""select Col50, count(Col49) where Col1 = '"",C3,""' and C"&amp;"ol50 &lt;&gt; 'Other' and Col50 is not null group by Col50"")),""select max(Col2)"",0),""Select *"",0),"" limit 1""),0))"),"")</f>
        <v/>
      </c>
      <c r="AI3" s="35" t="str">
        <f t="shared" ref="AI3:AI140" si="8">IFERROR(VLOOKUP(AH3,ref!$A:$B,2,FALSE),"")</f>
        <v/>
      </c>
      <c r="AJ3" s="35" t="str">
        <f t="shared" ref="AJ3:AJ140" si="9">IF(COUNTIFS(Data!BI:BI,"1",Data!A:A,C3)&gt;0,"Sí","No")</f>
        <v>No</v>
      </c>
      <c r="AK3" s="35" t="str">
        <f>IFERROR(__xludf.DUMMYFUNCTION("IFERROR(query(query(Data!A:BS,CONCATENATE(""select Col70, count(Col69) where Col1 = '"",C3,""' group by Col70"")), CONCATENATE(""select Col1 where Col2 = "",query(query(query(Data!A:BS,CONCATENATE(""select Col70, count(Col69) where Col1 = '"",C3,""' and C"&amp;"ol70 &lt;&gt; 'Other' and Col70 is not null group by Col70"")),""select max(Col2)"",0),""Select *"",0),"" limit 1""),0))"),"")</f>
        <v/>
      </c>
      <c r="AL3" s="35" t="str">
        <f t="shared" ref="AL3:AL140" si="10">IFERROR(VLOOKUP(AK3,ref!$A:$B,2,FALSE),"")</f>
        <v/>
      </c>
      <c r="AM3" s="35"/>
      <c r="AN3" s="35"/>
      <c r="AO3" s="35"/>
      <c r="AP3" s="35"/>
      <c r="AQ3" s="35"/>
      <c r="AR3" s="35"/>
      <c r="AS3" s="35"/>
      <c r="AT3" s="35"/>
      <c r="AU3" s="35"/>
      <c r="AV3" s="35"/>
    </row>
    <row r="4">
      <c r="A4" s="25">
        <v>96.0</v>
      </c>
      <c r="B4" s="26" t="s">
        <v>50</v>
      </c>
      <c r="C4" s="27" t="s">
        <v>51</v>
      </c>
      <c r="D4" s="28" t="s">
        <v>51</v>
      </c>
      <c r="E4" s="28" t="s">
        <v>52</v>
      </c>
      <c r="F4" s="28" t="s">
        <v>52</v>
      </c>
      <c r="G4" s="28" t="s">
        <v>53</v>
      </c>
      <c r="H4" s="29">
        <v>4.064620580840529</v>
      </c>
      <c r="I4" s="30">
        <v>3.382571973298725</v>
      </c>
      <c r="J4" s="30">
        <v>6.073113250732423</v>
      </c>
      <c r="K4" s="30">
        <v>1.4117324561403508</v>
      </c>
      <c r="L4" s="31">
        <v>0.7664285714285715</v>
      </c>
      <c r="M4" s="31">
        <v>0.0</v>
      </c>
      <c r="N4" s="31">
        <v>23.954333333333334</v>
      </c>
      <c r="O4" s="32" t="s">
        <v>54</v>
      </c>
      <c r="P4" s="32" t="s">
        <v>54</v>
      </c>
      <c r="Q4" s="32" t="s">
        <v>54</v>
      </c>
      <c r="R4" s="33" t="str">
        <f t="shared" si="1"/>
        <v>cap</v>
      </c>
      <c r="S4" s="34" t="str">
        <f>IFERROR(__xludf.DUMMYFUNCTION("IF(query(Data!A:M,CONCATENATE(""select Col13 where Col1 = '"",C4,""' and Col8 = 'Bias and Unfair Discrimination'""),0)&gt;70,1,0)"),"#REF!")</f>
        <v>#REF!</v>
      </c>
      <c r="T4" s="34" t="str">
        <f>IFERROR(__xludf.DUMMYFUNCTION("IF(query(Data!A:M,CONCATENATE(""select Col13 where Col1 = '"",C4,""' and Col8 = 'Childrens Rights'""),0)&gt;70,1,0)"),"#REF!")</f>
        <v>#REF!</v>
      </c>
      <c r="U4" s="34" t="str">
        <f>IFERROR(__xludf.DUMMYFUNCTION("IF(query(Data!A:M,CONCATENATE(""select Col13 where Col1 = '"",C4,""' and Col8 = 'Cultural and Linguistic Diversity'""),0)&gt;70,1,0)"),"#REF!")</f>
        <v>#REF!</v>
      </c>
      <c r="V4" s="34" t="str">
        <f>IFERROR(__xludf.DUMMYFUNCTION("IF(query(Data!A:M,CONCATENATE(""select Col13 where Col1 = '"",C4,""' and Col8 = 'Data Protection and Privacy'""),0)&gt;70,1,0)"),"#REF!")</f>
        <v>#REF!</v>
      </c>
      <c r="W4" s="34" t="str">
        <f>IFERROR(__xludf.DUMMYFUNCTION("IF(query(Data!A:M,CONCATENATE(""select Col13 where Col1 = '"",C4,""' and Col8 = 'Gender Equality'""),0)&gt;70,1,0)"),"#REF!")</f>
        <v>#REF!</v>
      </c>
      <c r="X4" s="34" t="str">
        <f>IFERROR(__xludf.DUMMYFUNCTION("IF(query(Data!A:M,CONCATENATE(""select Col13 where Col1 = '"",C4,""' and Col8 = 'Human Oversight and Determination'""),0)&gt;70,1,0)"),"#REF!")</f>
        <v>#REF!</v>
      </c>
      <c r="Y4" s="34" t="str">
        <f>IFERROR(__xludf.DUMMYFUNCTION("IF(query(Data!A:M,CONCATENATE(""select Col13 where Col1 = '"",C4,""' and Col8 = 'Labour Protection and Right to Work'""),0)&gt;70,1,0)"),"#REF!")</f>
        <v>#REF!</v>
      </c>
      <c r="Z4" s="34" t="str">
        <f>IFERROR(__xludf.DUMMYFUNCTION("IF(query(Data!A:M,CONCATENATE(""select Col13 where Col1 = '"",C4,""' and Col8 = 'Safety, Accuracy and Reliability'""),0)&gt;70,1,0)"),"#REF!")</f>
        <v>#REF!</v>
      </c>
      <c r="AA4" s="34" t="str">
        <f>IFERROR(__xludf.DUMMYFUNCTION("IF(query(Data!A:M,CONCATENATE(""select Col13 where Col1 = '"",C4,""' and Col8 = 'Transparency and Explainability'""),0)&gt;70,1,0)"),"#REF!")</f>
        <v>#REF!</v>
      </c>
      <c r="AB4" s="35">
        <f t="shared" si="2"/>
        <v>0</v>
      </c>
      <c r="AC4" s="35">
        <f t="shared" si="3"/>
        <v>0</v>
      </c>
      <c r="AD4" s="35">
        <f t="shared" si="4"/>
        <v>0</v>
      </c>
      <c r="AE4" s="35">
        <f t="shared" si="5"/>
        <v>0</v>
      </c>
      <c r="AF4" s="35">
        <f t="shared" si="6"/>
        <v>0</v>
      </c>
      <c r="AG4" s="35" t="str">
        <f t="shared" si="7"/>
        <v>No</v>
      </c>
      <c r="AH4" s="35" t="str">
        <f>IFERROR(__xludf.DUMMYFUNCTION("IFERROR(query(query(Data!A:BS,CONCATENATE(""select Col50, count(Col49) where Col1 = '"",C4,""' group by Col50"")), CONCATENATE(""select Col1 where Col2 = "",query(query(query(Data!A:BS,CONCATENATE(""select Col50, count(Col49) where Col1 = '"",C4,""' and C"&amp;"ol50 &lt;&gt; 'Other' and Col50 is not null group by Col50"")),""select max(Col2)"",0),""Select *"",0),"" limit 1""),0))"),"")</f>
        <v/>
      </c>
      <c r="AI4" s="35" t="str">
        <f t="shared" si="8"/>
        <v/>
      </c>
      <c r="AJ4" s="35" t="str">
        <f t="shared" si="9"/>
        <v>No</v>
      </c>
      <c r="AK4" s="35" t="str">
        <f>IFERROR(__xludf.DUMMYFUNCTION("IFERROR(query(query(Data!A:BS,CONCATENATE(""select Col70, count(Col69) where Col1 = '"",C4,""' group by Col70"")), CONCATENATE(""select Col1 where Col2 = "",query(query(query(Data!A:BS,CONCATENATE(""select Col70, count(Col69) where Col1 = '"",C4,""' and C"&amp;"ol70 &lt;&gt; 'Other' and Col70 is not null group by Col70"")),""select max(Col2)"",0),""Select *"",0),"" limit 1""),0))"),"")</f>
        <v/>
      </c>
      <c r="AL4" s="35" t="str">
        <f t="shared" si="10"/>
        <v/>
      </c>
      <c r="AM4" s="35"/>
      <c r="AN4" s="35"/>
      <c r="AO4" s="35"/>
      <c r="AP4" s="35"/>
      <c r="AQ4" s="35"/>
      <c r="AR4" s="35"/>
      <c r="AS4" s="35"/>
      <c r="AT4" s="35"/>
      <c r="AU4" s="35"/>
      <c r="AV4" s="35"/>
    </row>
    <row r="5">
      <c r="A5" s="25">
        <v>2.0</v>
      </c>
      <c r="B5" s="26" t="s">
        <v>55</v>
      </c>
      <c r="C5" s="27" t="s">
        <v>56</v>
      </c>
      <c r="D5" s="28" t="s">
        <v>57</v>
      </c>
      <c r="E5" s="28" t="s">
        <v>52</v>
      </c>
      <c r="F5" s="28" t="s">
        <v>52</v>
      </c>
      <c r="G5" s="28" t="s">
        <v>58</v>
      </c>
      <c r="H5" s="29">
        <v>82.77012978537043</v>
      </c>
      <c r="I5" s="30">
        <v>72.68702349746437</v>
      </c>
      <c r="J5" s="30">
        <v>92.99652465017219</v>
      </c>
      <c r="K5" s="30">
        <v>82.48355263157895</v>
      </c>
      <c r="L5" s="31">
        <v>80.30157142857142</v>
      </c>
      <c r="M5" s="31">
        <v>90.93622222222223</v>
      </c>
      <c r="N5" s="31">
        <v>64.032</v>
      </c>
      <c r="O5" s="32" t="s">
        <v>59</v>
      </c>
      <c r="P5" s="32" t="s">
        <v>59</v>
      </c>
      <c r="Q5" s="32" t="s">
        <v>59</v>
      </c>
      <c r="R5" s="33" t="str">
        <f t="shared" si="1"/>
        <v>gob</v>
      </c>
      <c r="S5" s="34" t="str">
        <f>IFERROR(__xludf.DUMMYFUNCTION("IF(query(Data!A:M,CONCATENATE(""select Col13 where Col1 = '"",C5,""' and Col8 = 'Bias and Unfair Discrimination'""),0)&gt;70,1,0)"),"#REF!")</f>
        <v>#REF!</v>
      </c>
      <c r="T5" s="34" t="str">
        <f>IFERROR(__xludf.DUMMYFUNCTION("IF(query(Data!A:M,CONCATENATE(""select Col13 where Col1 = '"",C5,""' and Col8 = 'Childrens Rights'""),0)&gt;70,1,0)"),"#REF!")</f>
        <v>#REF!</v>
      </c>
      <c r="U5" s="34" t="str">
        <f>IFERROR(__xludf.DUMMYFUNCTION("IF(query(Data!A:M,CONCATENATE(""select Col13 where Col1 = '"",C5,""' and Col8 = 'Cultural and Linguistic Diversity'""),0)&gt;70,1,0)"),"#REF!")</f>
        <v>#REF!</v>
      </c>
      <c r="V5" s="34" t="str">
        <f>IFERROR(__xludf.DUMMYFUNCTION("IF(query(Data!A:M,CONCATENATE(""select Col13 where Col1 = '"",C5,""' and Col8 = 'Data Protection and Privacy'""),0)&gt;70,1,0)"),"#REF!")</f>
        <v>#REF!</v>
      </c>
      <c r="W5" s="34" t="str">
        <f>IFERROR(__xludf.DUMMYFUNCTION("IF(query(Data!A:M,CONCATENATE(""select Col13 where Col1 = '"",C5,""' and Col8 = 'Gender Equality'""),0)&gt;70,1,0)"),"#REF!")</f>
        <v>#REF!</v>
      </c>
      <c r="X5" s="34" t="str">
        <f>IFERROR(__xludf.DUMMYFUNCTION("IF(query(Data!A:M,CONCATENATE(""select Col13 where Col1 = '"",C5,""' and Col8 = 'Human Oversight and Determination'""),0)&gt;70,1,0)"),"#REF!")</f>
        <v>#REF!</v>
      </c>
      <c r="Y5" s="34" t="str">
        <f>IFERROR(__xludf.DUMMYFUNCTION("IF(query(Data!A:M,CONCATENATE(""select Col13 where Col1 = '"",C5,""' and Col8 = 'Labour Protection and Right to Work'""),0)&gt;70,1,0)"),"#REF!")</f>
        <v>#REF!</v>
      </c>
      <c r="Z5" s="34" t="str">
        <f>IFERROR(__xludf.DUMMYFUNCTION("IF(query(Data!A:M,CONCATENATE(""select Col13 where Col1 = '"",C5,""' and Col8 = 'Safety, Accuracy and Reliability'""),0)&gt;70,1,0)"),"#REF!")</f>
        <v>#REF!</v>
      </c>
      <c r="AA5" s="34" t="str">
        <f>IFERROR(__xludf.DUMMYFUNCTION("IF(query(Data!A:M,CONCATENATE(""select Col13 where Col1 = '"",C5,""' and Col8 = 'Transparency and Explainability'""),0)&gt;70,1,0)"),"#REF!")</f>
        <v>#REF!</v>
      </c>
      <c r="AB5" s="35">
        <f t="shared" si="2"/>
        <v>0</v>
      </c>
      <c r="AC5" s="35">
        <f t="shared" si="3"/>
        <v>0</v>
      </c>
      <c r="AD5" s="35">
        <f t="shared" si="4"/>
        <v>0</v>
      </c>
      <c r="AE5" s="35">
        <f t="shared" si="5"/>
        <v>0</v>
      </c>
      <c r="AF5" s="35">
        <f t="shared" si="6"/>
        <v>0</v>
      </c>
      <c r="AG5" s="35" t="str">
        <f t="shared" si="7"/>
        <v>No</v>
      </c>
      <c r="AH5" s="35" t="str">
        <f>IFERROR(__xludf.DUMMYFUNCTION("IFERROR(query(query(Data!A:BS,CONCATENATE(""select Col50, count(Col49) where Col1 = '"",C5,""' group by Col50"")), CONCATENATE(""select Col1 where Col2 = "",query(query(query(Data!A:BS,CONCATENATE(""select Col50, count(Col49) where Col1 = '"",C5,""' and C"&amp;"ol50 &lt;&gt; 'Other' and Col50 is not null group by Col50"")),""select max(Col2)"",0),""Select *"",0),"" limit 1""),0))"),"")</f>
        <v/>
      </c>
      <c r="AI5" s="35" t="str">
        <f t="shared" si="8"/>
        <v/>
      </c>
      <c r="AJ5" s="35" t="str">
        <f t="shared" si="9"/>
        <v>No</v>
      </c>
      <c r="AK5" s="35" t="str">
        <f>IFERROR(__xludf.DUMMYFUNCTION("IFERROR(query(query(Data!A:BS,CONCATENATE(""select Col70, count(Col69) where Col1 = '"",C5,""' group by Col70"")), CONCATENATE(""select Col1 where Col2 = "",query(query(query(Data!A:BS,CONCATENATE(""select Col70, count(Col69) where Col1 = '"",C5,""' and C"&amp;"ol70 &lt;&gt; 'Other' and Col70 is not null group by Col70"")),""select max(Col2)"",0),""Select *"",0),"" limit 1""),0))"),"")</f>
        <v/>
      </c>
      <c r="AL5" s="35" t="str">
        <f t="shared" si="10"/>
        <v/>
      </c>
      <c r="AM5" s="35"/>
      <c r="AN5" s="35"/>
      <c r="AO5" s="35"/>
      <c r="AP5" s="35"/>
      <c r="AQ5" s="35"/>
      <c r="AR5" s="35"/>
      <c r="AS5" s="35"/>
      <c r="AT5" s="35"/>
      <c r="AU5" s="35"/>
      <c r="AV5" s="35"/>
    </row>
    <row r="6">
      <c r="A6" s="25">
        <v>91.0</v>
      </c>
      <c r="B6" s="26" t="s">
        <v>60</v>
      </c>
      <c r="C6" s="27" t="s">
        <v>61</v>
      </c>
      <c r="D6" s="28" t="s">
        <v>62</v>
      </c>
      <c r="E6" s="28" t="s">
        <v>63</v>
      </c>
      <c r="F6" s="28" t="s">
        <v>64</v>
      </c>
      <c r="G6" s="28" t="s">
        <v>65</v>
      </c>
      <c r="H6" s="29">
        <v>4.715894936009457</v>
      </c>
      <c r="I6" s="30">
        <v>0.0</v>
      </c>
      <c r="J6" s="30">
        <v>9.384309708444697</v>
      </c>
      <c r="K6" s="30">
        <v>4.810855263157894</v>
      </c>
      <c r="L6" s="31">
        <v>6.007857142857143</v>
      </c>
      <c r="M6" s="31">
        <v>2.6415555555555557</v>
      </c>
      <c r="N6" s="31">
        <v>7.924666666666667</v>
      </c>
      <c r="O6" s="32" t="s">
        <v>54</v>
      </c>
      <c r="P6" s="32" t="s">
        <v>54</v>
      </c>
      <c r="Q6" s="32" t="s">
        <v>59</v>
      </c>
      <c r="R6" s="33" t="str">
        <f t="shared" si="1"/>
        <v>cap</v>
      </c>
      <c r="S6" s="34" t="str">
        <f>IFERROR(__xludf.DUMMYFUNCTION("IF(query(Data!A:M,CONCATENATE(""select Col13 where Col1 = '"",C6,""' and Col8 = 'Bias and Unfair Discrimination'""),0)&gt;70,1,0)"),"#REF!")</f>
        <v>#REF!</v>
      </c>
      <c r="T6" s="34" t="str">
        <f>IFERROR(__xludf.DUMMYFUNCTION("IF(query(Data!A:M,CONCATENATE(""select Col13 where Col1 = '"",C6,""' and Col8 = 'Childrens Rights'""),0)&gt;70,1,0)"),"#REF!")</f>
        <v>#REF!</v>
      </c>
      <c r="U6" s="34" t="str">
        <f>IFERROR(__xludf.DUMMYFUNCTION("IF(query(Data!A:M,CONCATENATE(""select Col13 where Col1 = '"",C6,""' and Col8 = 'Cultural and Linguistic Diversity'""),0)&gt;70,1,0)"),"#REF!")</f>
        <v>#REF!</v>
      </c>
      <c r="V6" s="34" t="str">
        <f>IFERROR(__xludf.DUMMYFUNCTION("IF(query(Data!A:M,CONCATENATE(""select Col13 where Col1 = '"",C6,""' and Col8 = 'Data Protection and Privacy'""),0)&gt;70,1,0)"),"#REF!")</f>
        <v>#REF!</v>
      </c>
      <c r="W6" s="34" t="str">
        <f>IFERROR(__xludf.DUMMYFUNCTION("IF(query(Data!A:M,CONCATENATE(""select Col13 where Col1 = '"",C6,""' and Col8 = 'Gender Equality'""),0)&gt;70,1,0)"),"#REF!")</f>
        <v>#REF!</v>
      </c>
      <c r="X6" s="34" t="str">
        <f>IFERROR(__xludf.DUMMYFUNCTION("IF(query(Data!A:M,CONCATENATE(""select Col13 where Col1 = '"",C6,""' and Col8 = 'Human Oversight and Determination'""),0)&gt;70,1,0)"),"#REF!")</f>
        <v>#REF!</v>
      </c>
      <c r="Y6" s="34" t="str">
        <f>IFERROR(__xludf.DUMMYFUNCTION("IF(query(Data!A:M,CONCATENATE(""select Col13 where Col1 = '"",C6,""' and Col8 = 'Labour Protection and Right to Work'""),0)&gt;70,1,0)"),"#REF!")</f>
        <v>#REF!</v>
      </c>
      <c r="Z6" s="34" t="str">
        <f>IFERROR(__xludf.DUMMYFUNCTION("IF(query(Data!A:M,CONCATENATE(""select Col13 where Col1 = '"",C6,""' and Col8 = 'Safety, Accuracy and Reliability'""),0)&gt;70,1,0)"),"#REF!")</f>
        <v>#REF!</v>
      </c>
      <c r="AA6" s="34" t="str">
        <f>IFERROR(__xludf.DUMMYFUNCTION("IF(query(Data!A:M,CONCATENATE(""select Col13 where Col1 = '"",C6,""' and Col8 = 'Transparency and Explainability'""),0)&gt;70,1,0)"),"#REF!")</f>
        <v>#REF!</v>
      </c>
      <c r="AB6" s="35">
        <f t="shared" si="2"/>
        <v>0</v>
      </c>
      <c r="AC6" s="35">
        <f t="shared" si="3"/>
        <v>0</v>
      </c>
      <c r="AD6" s="35">
        <f t="shared" si="4"/>
        <v>0</v>
      </c>
      <c r="AE6" s="35">
        <f t="shared" si="5"/>
        <v>0</v>
      </c>
      <c r="AF6" s="35">
        <f t="shared" si="6"/>
        <v>0</v>
      </c>
      <c r="AG6" s="35" t="str">
        <f t="shared" si="7"/>
        <v>No</v>
      </c>
      <c r="AH6" s="35" t="str">
        <f>IFERROR(__xludf.DUMMYFUNCTION("IFERROR(query(query(Data!A:BS,CONCATENATE(""select Col50, count(Col49) where Col1 = '"",C6,""' group by Col50"")), CONCATENATE(""select Col1 where Col2 = "",query(query(query(Data!A:BS,CONCATENATE(""select Col50, count(Col49) where Col1 = '"",C6,""' and C"&amp;"ol50 &lt;&gt; 'Other' and Col50 is not null group by Col50"")),""select max(Col2)"",0),""Select *"",0),"" limit 1""),0))"),"")</f>
        <v/>
      </c>
      <c r="AI6" s="35" t="str">
        <f t="shared" si="8"/>
        <v/>
      </c>
      <c r="AJ6" s="35" t="str">
        <f t="shared" si="9"/>
        <v>No</v>
      </c>
      <c r="AK6" s="35" t="str">
        <f>IFERROR(__xludf.DUMMYFUNCTION("IFERROR(query(query(Data!A:BS,CONCATENATE(""select Col70, count(Col69) where Col1 = '"",C6,""' group by Col70"")), CONCATENATE(""select Col1 where Col2 = "",query(query(query(Data!A:BS,CONCATENATE(""select Col70, count(Col69) where Col1 = '"",C6,""' and C"&amp;"ol70 &lt;&gt; 'Other' and Col70 is not null group by Col70"")),""select max(Col2)"",0),""Select *"",0),"" limit 1""),0))"),"")</f>
        <v/>
      </c>
      <c r="AL6" s="35" t="str">
        <f t="shared" si="10"/>
        <v/>
      </c>
      <c r="AM6" s="35"/>
      <c r="AN6" s="35"/>
      <c r="AO6" s="35"/>
      <c r="AP6" s="35"/>
      <c r="AQ6" s="35"/>
      <c r="AR6" s="35"/>
      <c r="AS6" s="35"/>
      <c r="AT6" s="35"/>
      <c r="AU6" s="35"/>
      <c r="AV6" s="35"/>
    </row>
    <row r="7">
      <c r="A7" s="25">
        <v>40.0</v>
      </c>
      <c r="B7" s="26" t="s">
        <v>66</v>
      </c>
      <c r="C7" s="27" t="s">
        <v>67</v>
      </c>
      <c r="D7" s="28" t="s">
        <v>68</v>
      </c>
      <c r="E7" s="28" t="s">
        <v>69</v>
      </c>
      <c r="F7" s="28" t="s">
        <v>47</v>
      </c>
      <c r="G7" s="28" t="s">
        <v>70</v>
      </c>
      <c r="H7" s="29">
        <v>28.947099134210955</v>
      </c>
      <c r="I7" s="30">
        <v>25.595311633327547</v>
      </c>
      <c r="J7" s="30">
        <v>42.866186202199835</v>
      </c>
      <c r="K7" s="30">
        <v>7.8125</v>
      </c>
      <c r="L7" s="31">
        <v>26.276714285714288</v>
      </c>
      <c r="M7" s="31">
        <v>27.685444444444443</v>
      </c>
      <c r="N7" s="31">
        <v>38.96266666666667</v>
      </c>
      <c r="O7" s="32" t="s">
        <v>54</v>
      </c>
      <c r="P7" s="32" t="s">
        <v>54</v>
      </c>
      <c r="Q7" s="32" t="s">
        <v>49</v>
      </c>
      <c r="R7" s="33" t="str">
        <f t="shared" si="1"/>
        <v>cap</v>
      </c>
      <c r="S7" s="34" t="str">
        <f>IFERROR(__xludf.DUMMYFUNCTION("IF(query(Data!A:M,CONCATENATE(""select Col13 where Col1 = '"",C7,""' and Col8 = 'Bias and Unfair Discrimination'""),0)&gt;70,1,0)"),"#REF!")</f>
        <v>#REF!</v>
      </c>
      <c r="T7" s="34" t="str">
        <f>IFERROR(__xludf.DUMMYFUNCTION("IF(query(Data!A:M,CONCATENATE(""select Col13 where Col1 = '"",C7,""' and Col8 = 'Childrens Rights'""),0)&gt;70,1,0)"),"#REF!")</f>
        <v>#REF!</v>
      </c>
      <c r="U7" s="34" t="str">
        <f>IFERROR(__xludf.DUMMYFUNCTION("IF(query(Data!A:M,CONCATENATE(""select Col13 where Col1 = '"",C7,""' and Col8 = 'Cultural and Linguistic Diversity'""),0)&gt;70,1,0)"),"#REF!")</f>
        <v>#REF!</v>
      </c>
      <c r="V7" s="34" t="str">
        <f>IFERROR(__xludf.DUMMYFUNCTION("IF(query(Data!A:M,CONCATENATE(""select Col13 where Col1 = '"",C7,""' and Col8 = 'Data Protection and Privacy'""),0)&gt;70,1,0)"),"#REF!")</f>
        <v>#REF!</v>
      </c>
      <c r="W7" s="34" t="str">
        <f>IFERROR(__xludf.DUMMYFUNCTION("IF(query(Data!A:M,CONCATENATE(""select Col13 where Col1 = '"",C7,""' and Col8 = 'Gender Equality'""),0)&gt;70,1,0)"),"#REF!")</f>
        <v>#REF!</v>
      </c>
      <c r="X7" s="34" t="str">
        <f>IFERROR(__xludf.DUMMYFUNCTION("IF(query(Data!A:M,CONCATENATE(""select Col13 where Col1 = '"",C7,""' and Col8 = 'Human Oversight and Determination'""),0)&gt;70,1,0)"),"#REF!")</f>
        <v>#REF!</v>
      </c>
      <c r="Y7" s="34" t="str">
        <f>IFERROR(__xludf.DUMMYFUNCTION("IF(query(Data!A:M,CONCATENATE(""select Col13 where Col1 = '"",C7,""' and Col8 = 'Labour Protection and Right to Work'""),0)&gt;70,1,0)"),"#REF!")</f>
        <v>#REF!</v>
      </c>
      <c r="Z7" s="34" t="str">
        <f>IFERROR(__xludf.DUMMYFUNCTION("IF(query(Data!A:M,CONCATENATE(""select Col13 where Col1 = '"",C7,""' and Col8 = 'Safety, Accuracy and Reliability'""),0)&gt;70,1,0)"),"#REF!")</f>
        <v>#REF!</v>
      </c>
      <c r="AA7" s="34" t="str">
        <f>IFERROR(__xludf.DUMMYFUNCTION("IF(query(Data!A:M,CONCATENATE(""select Col13 where Col1 = '"",C7,""' and Col8 = 'Transparency and Explainability'""),0)&gt;70,1,0)"),"#REF!")</f>
        <v>#REF!</v>
      </c>
      <c r="AB7" s="35">
        <f t="shared" si="2"/>
        <v>0</v>
      </c>
      <c r="AC7" s="35">
        <f t="shared" si="3"/>
        <v>0</v>
      </c>
      <c r="AD7" s="35">
        <f t="shared" si="4"/>
        <v>0</v>
      </c>
      <c r="AE7" s="35">
        <f t="shared" si="5"/>
        <v>0</v>
      </c>
      <c r="AF7" s="35">
        <f t="shared" si="6"/>
        <v>0</v>
      </c>
      <c r="AG7" s="35" t="str">
        <f t="shared" si="7"/>
        <v>No</v>
      </c>
      <c r="AH7" s="35" t="str">
        <f>IFERROR(__xludf.DUMMYFUNCTION("IFERROR(query(query(Data!A:BS,CONCATENATE(""select Col50, count(Col49) where Col1 = '"",C7,""' group by Col50"")), CONCATENATE(""select Col1 where Col2 = "",query(query(query(Data!A:BS,CONCATENATE(""select Col50, count(Col49) where Col1 = '"",C7,""' and C"&amp;"ol50 &lt;&gt; 'Other' and Col50 is not null group by Col50"")),""select max(Col2)"",0),""Select *"",0),"" limit 1""),0))"),"")</f>
        <v/>
      </c>
      <c r="AI7" s="35" t="str">
        <f t="shared" si="8"/>
        <v/>
      </c>
      <c r="AJ7" s="35" t="str">
        <f t="shared" si="9"/>
        <v>No</v>
      </c>
      <c r="AK7" s="35" t="str">
        <f>IFERROR(__xludf.DUMMYFUNCTION("IFERROR(query(query(Data!A:BS,CONCATENATE(""select Col70, count(Col69) where Col1 = '"",C7,""' group by Col70"")), CONCATENATE(""select Col1 where Col2 = "",query(query(query(Data!A:BS,CONCATENATE(""select Col70, count(Col69) where Col1 = '"",C7,""' and C"&amp;"ol70 &lt;&gt; 'Other' and Col70 is not null group by Col70"")),""select max(Col2)"",0),""Select *"",0),"" limit 1""),0))"),"")</f>
        <v/>
      </c>
      <c r="AL7" s="35" t="str">
        <f t="shared" si="10"/>
        <v/>
      </c>
      <c r="AM7" s="35"/>
      <c r="AN7" s="35"/>
      <c r="AO7" s="35"/>
      <c r="AP7" s="35"/>
      <c r="AQ7" s="35"/>
      <c r="AR7" s="35"/>
      <c r="AS7" s="35"/>
      <c r="AT7" s="35"/>
      <c r="AU7" s="35"/>
      <c r="AV7" s="35"/>
    </row>
    <row r="8">
      <c r="A8" s="25">
        <v>104.0</v>
      </c>
      <c r="B8" s="26" t="s">
        <v>71</v>
      </c>
      <c r="C8" s="27" t="s">
        <v>72</v>
      </c>
      <c r="D8" s="28" t="s">
        <v>73</v>
      </c>
      <c r="E8" s="28" t="s">
        <v>74</v>
      </c>
      <c r="F8" s="28" t="s">
        <v>74</v>
      </c>
      <c r="G8" s="28" t="s">
        <v>75</v>
      </c>
      <c r="H8" s="29">
        <v>2.661846237851862</v>
      </c>
      <c r="I8" s="30">
        <v>0.0</v>
      </c>
      <c r="J8" s="30">
        <v>4.530163840243691</v>
      </c>
      <c r="K8" s="30">
        <v>4.248903508771929</v>
      </c>
      <c r="L8" s="31">
        <v>0.0</v>
      </c>
      <c r="M8" s="31">
        <v>1.0763333333333334</v>
      </c>
      <c r="N8" s="31">
        <v>13.629333333333333</v>
      </c>
      <c r="O8" s="32" t="s">
        <v>49</v>
      </c>
      <c r="P8" s="32" t="s">
        <v>76</v>
      </c>
      <c r="Q8" s="32" t="s">
        <v>76</v>
      </c>
      <c r="R8" s="33" t="str">
        <f t="shared" si="1"/>
        <v>cap</v>
      </c>
      <c r="S8" s="34" t="str">
        <f>IFERROR(__xludf.DUMMYFUNCTION("IF(query(Data!A:M,CONCATENATE(""select Col13 where Col1 = '"",C8,""' and Col8 = 'Bias and Unfair Discrimination'""),0)&gt;70,1,0)"),"#REF!")</f>
        <v>#REF!</v>
      </c>
      <c r="T8" s="34" t="str">
        <f>IFERROR(__xludf.DUMMYFUNCTION("IF(query(Data!A:M,CONCATENATE(""select Col13 where Col1 = '"",C8,""' and Col8 = 'Childrens Rights'""),0)&gt;70,1,0)"),"#REF!")</f>
        <v>#REF!</v>
      </c>
      <c r="U8" s="34" t="str">
        <f>IFERROR(__xludf.DUMMYFUNCTION("IF(query(Data!A:M,CONCATENATE(""select Col13 where Col1 = '"",C8,""' and Col8 = 'Cultural and Linguistic Diversity'""),0)&gt;70,1,0)"),"#REF!")</f>
        <v>#REF!</v>
      </c>
      <c r="V8" s="34" t="str">
        <f>IFERROR(__xludf.DUMMYFUNCTION("IF(query(Data!A:M,CONCATENATE(""select Col13 where Col1 = '"",C8,""' and Col8 = 'Data Protection and Privacy'""),0)&gt;70,1,0)"),"#REF!")</f>
        <v>#REF!</v>
      </c>
      <c r="W8" s="34" t="str">
        <f>IFERROR(__xludf.DUMMYFUNCTION("IF(query(Data!A:M,CONCATENATE(""select Col13 where Col1 = '"",C8,""' and Col8 = 'Gender Equality'""),0)&gt;70,1,0)"),"#REF!")</f>
        <v>#REF!</v>
      </c>
      <c r="X8" s="34" t="str">
        <f>IFERROR(__xludf.DUMMYFUNCTION("IF(query(Data!A:M,CONCATENATE(""select Col13 where Col1 = '"",C8,""' and Col8 = 'Human Oversight and Determination'""),0)&gt;70,1,0)"),"#REF!")</f>
        <v>#REF!</v>
      </c>
      <c r="Y8" s="34" t="str">
        <f>IFERROR(__xludf.DUMMYFUNCTION("IF(query(Data!A:M,CONCATENATE(""select Col13 where Col1 = '"",C8,""' and Col8 = 'Labour Protection and Right to Work'""),0)&gt;70,1,0)"),"#REF!")</f>
        <v>#REF!</v>
      </c>
      <c r="Z8" s="34" t="str">
        <f>IFERROR(__xludf.DUMMYFUNCTION("IF(query(Data!A:M,CONCATENATE(""select Col13 where Col1 = '"",C8,""' and Col8 = 'Safety, Accuracy and Reliability'""),0)&gt;70,1,0)"),"#REF!")</f>
        <v>#REF!</v>
      </c>
      <c r="AA8" s="34" t="str">
        <f>IFERROR(__xludf.DUMMYFUNCTION("IF(query(Data!A:M,CONCATENATE(""select Col13 where Col1 = '"",C8,""' and Col8 = 'Transparency and Explainability'""),0)&gt;70,1,0)"),"#REF!")</f>
        <v>#REF!</v>
      </c>
      <c r="AB8" s="35">
        <f t="shared" si="2"/>
        <v>0</v>
      </c>
      <c r="AC8" s="35">
        <f t="shared" si="3"/>
        <v>0</v>
      </c>
      <c r="AD8" s="35">
        <f t="shared" si="4"/>
        <v>0</v>
      </c>
      <c r="AE8" s="35">
        <f t="shared" si="5"/>
        <v>0</v>
      </c>
      <c r="AF8" s="35">
        <f t="shared" si="6"/>
        <v>0</v>
      </c>
      <c r="AG8" s="35" t="str">
        <f t="shared" si="7"/>
        <v>No</v>
      </c>
      <c r="AH8" s="35" t="str">
        <f>IFERROR(__xludf.DUMMYFUNCTION("IFERROR(query(query(Data!A:BS,CONCATENATE(""select Col50, count(Col49) where Col1 = '"",C8,""' group by Col50"")), CONCATENATE(""select Col1 where Col2 = "",query(query(query(Data!A:BS,CONCATENATE(""select Col50, count(Col49) where Col1 = '"",C8,""' and C"&amp;"ol50 &lt;&gt; 'Other' and Col50 is not null group by Col50"")),""select max(Col2)"",0),""Select *"",0),"" limit 1""),0))"),"")</f>
        <v/>
      </c>
      <c r="AI8" s="35" t="str">
        <f t="shared" si="8"/>
        <v/>
      </c>
      <c r="AJ8" s="35" t="str">
        <f t="shared" si="9"/>
        <v>No</v>
      </c>
      <c r="AK8" s="35" t="str">
        <f>IFERROR(__xludf.DUMMYFUNCTION("IFERROR(query(query(Data!A:BS,CONCATENATE(""select Col70, count(Col69) where Col1 = '"",C8,""' group by Col70"")), CONCATENATE(""select Col1 where Col2 = "",query(query(query(Data!A:BS,CONCATENATE(""select Col70, count(Col69) where Col1 = '"",C8,""' and C"&amp;"ol70 &lt;&gt; 'Other' and Col70 is not null group by Col70"")),""select max(Col2)"",0),""Select *"",0),"" limit 1""),0))"),"")</f>
        <v/>
      </c>
      <c r="AL8" s="35" t="str">
        <f t="shared" si="10"/>
        <v/>
      </c>
      <c r="AM8" s="35"/>
      <c r="AN8" s="35"/>
      <c r="AO8" s="35"/>
      <c r="AP8" s="35"/>
      <c r="AQ8" s="35"/>
      <c r="AR8" s="35"/>
      <c r="AS8" s="35"/>
      <c r="AT8" s="35"/>
      <c r="AU8" s="35"/>
      <c r="AV8" s="35"/>
    </row>
    <row r="9">
      <c r="A9" s="25">
        <v>54.0</v>
      </c>
      <c r="B9" s="26" t="s">
        <v>77</v>
      </c>
      <c r="C9" s="27" t="s">
        <v>78</v>
      </c>
      <c r="D9" s="28" t="s">
        <v>78</v>
      </c>
      <c r="E9" s="28" t="s">
        <v>79</v>
      </c>
      <c r="F9" s="28" t="s">
        <v>64</v>
      </c>
      <c r="G9" s="28" t="s">
        <v>65</v>
      </c>
      <c r="H9" s="29">
        <v>21.953223254387844</v>
      </c>
      <c r="I9" s="30">
        <v>10.48649021408014</v>
      </c>
      <c r="J9" s="30">
        <v>29.4705810797842</v>
      </c>
      <c r="K9" s="30">
        <v>29.85197368421052</v>
      </c>
      <c r="L9" s="31">
        <v>25.724999999999998</v>
      </c>
      <c r="M9" s="31">
        <v>18.41333333333333</v>
      </c>
      <c r="N9" s="31">
        <v>23.772333333333336</v>
      </c>
      <c r="O9" s="32" t="s">
        <v>76</v>
      </c>
      <c r="P9" s="32" t="s">
        <v>80</v>
      </c>
      <c r="Q9" s="32" t="s">
        <v>59</v>
      </c>
      <c r="R9" s="33" t="str">
        <f t="shared" si="1"/>
        <v>ddhh</v>
      </c>
      <c r="S9" s="34" t="str">
        <f>IFERROR(__xludf.DUMMYFUNCTION("IF(query(Data!A:M,CONCATENATE(""select Col13 where Col1 = '"",C9,""' and Col8 = 'Bias and Unfair Discrimination'""),0)&gt;70,1,0)"),"#REF!")</f>
        <v>#REF!</v>
      </c>
      <c r="T9" s="34" t="str">
        <f>IFERROR(__xludf.DUMMYFUNCTION("IF(query(Data!A:M,CONCATENATE(""select Col13 where Col1 = '"",C9,""' and Col8 = 'Childrens Rights'""),0)&gt;70,1,0)"),"#REF!")</f>
        <v>#REF!</v>
      </c>
      <c r="U9" s="34" t="str">
        <f>IFERROR(__xludf.DUMMYFUNCTION("IF(query(Data!A:M,CONCATENATE(""select Col13 where Col1 = '"",C9,""' and Col8 = 'Cultural and Linguistic Diversity'""),0)&gt;70,1,0)"),"#REF!")</f>
        <v>#REF!</v>
      </c>
      <c r="V9" s="34" t="str">
        <f>IFERROR(__xludf.DUMMYFUNCTION("IF(query(Data!A:M,CONCATENATE(""select Col13 where Col1 = '"",C9,""' and Col8 = 'Data Protection and Privacy'""),0)&gt;70,1,0)"),"#REF!")</f>
        <v>#REF!</v>
      </c>
      <c r="W9" s="34" t="str">
        <f>IFERROR(__xludf.DUMMYFUNCTION("IF(query(Data!A:M,CONCATENATE(""select Col13 where Col1 = '"",C9,""' and Col8 = 'Gender Equality'""),0)&gt;70,1,0)"),"#REF!")</f>
        <v>#REF!</v>
      </c>
      <c r="X9" s="34" t="str">
        <f>IFERROR(__xludf.DUMMYFUNCTION("IF(query(Data!A:M,CONCATENATE(""select Col13 where Col1 = '"",C9,""' and Col8 = 'Human Oversight and Determination'""),0)&gt;70,1,0)"),"#REF!")</f>
        <v>#REF!</v>
      </c>
      <c r="Y9" s="34" t="str">
        <f>IFERROR(__xludf.DUMMYFUNCTION("IF(query(Data!A:M,CONCATENATE(""select Col13 where Col1 = '"",C9,""' and Col8 = 'Labour Protection and Right to Work'""),0)&gt;70,1,0)"),"#REF!")</f>
        <v>#REF!</v>
      </c>
      <c r="Z9" s="34" t="str">
        <f>IFERROR(__xludf.DUMMYFUNCTION("IF(query(Data!A:M,CONCATENATE(""select Col13 where Col1 = '"",C9,""' and Col8 = 'Safety, Accuracy and Reliability'""),0)&gt;70,1,0)"),"#REF!")</f>
        <v>#REF!</v>
      </c>
      <c r="AA9" s="34" t="str">
        <f>IFERROR(__xludf.DUMMYFUNCTION("IF(query(Data!A:M,CONCATENATE(""select Col13 where Col1 = '"",C9,""' and Col8 = 'Transparency and Explainability'""),0)&gt;70,1,0)"),"#REF!")</f>
        <v>#REF!</v>
      </c>
      <c r="AB9" s="35">
        <f t="shared" si="2"/>
        <v>0</v>
      </c>
      <c r="AC9" s="35">
        <f t="shared" si="3"/>
        <v>0</v>
      </c>
      <c r="AD9" s="35">
        <f t="shared" si="4"/>
        <v>0</v>
      </c>
      <c r="AE9" s="35">
        <f t="shared" si="5"/>
        <v>0</v>
      </c>
      <c r="AF9" s="35">
        <f t="shared" si="6"/>
        <v>0</v>
      </c>
      <c r="AG9" s="35" t="str">
        <f t="shared" si="7"/>
        <v>No</v>
      </c>
      <c r="AH9" s="35" t="str">
        <f>IFERROR(__xludf.DUMMYFUNCTION("IFERROR(query(query(Data!A:BS,CONCATENATE(""select Col50, count(Col49) where Col1 = '"",C9,""' group by Col50"")), CONCATENATE(""select Col1 where Col2 = "",query(query(query(Data!A:BS,CONCATENATE(""select Col50, count(Col49) where Col1 = '"",C9,""' and C"&amp;"ol50 &lt;&gt; 'Other' and Col50 is not null group by Col50"")),""select max(Col2)"",0),""Select *"",0),"" limit 1""),0))"),"")</f>
        <v/>
      </c>
      <c r="AI9" s="35" t="str">
        <f t="shared" si="8"/>
        <v/>
      </c>
      <c r="AJ9" s="35" t="str">
        <f t="shared" si="9"/>
        <v>No</v>
      </c>
      <c r="AK9" s="35" t="str">
        <f>IFERROR(__xludf.DUMMYFUNCTION("IFERROR(query(query(Data!A:BS,CONCATENATE(""select Col70, count(Col69) where Col1 = '"",C9,""' group by Col70"")), CONCATENATE(""select Col1 where Col2 = "",query(query(query(Data!A:BS,CONCATENATE(""select Col70, count(Col69) where Col1 = '"",C9,""' and C"&amp;"ol70 &lt;&gt; 'Other' and Col70 is not null group by Col70"")),""select max(Col2)"",0),""Select *"",0),"" limit 1""),0))"),"")</f>
        <v/>
      </c>
      <c r="AL9" s="35" t="str">
        <f t="shared" si="10"/>
        <v/>
      </c>
      <c r="AM9" s="35"/>
      <c r="AN9" s="35"/>
      <c r="AO9" s="35"/>
      <c r="AP9" s="35"/>
      <c r="AQ9" s="35"/>
      <c r="AR9" s="35"/>
      <c r="AS9" s="35"/>
      <c r="AT9" s="35"/>
      <c r="AU9" s="35"/>
      <c r="AV9" s="35"/>
    </row>
    <row r="10">
      <c r="A10" s="25">
        <v>101.0</v>
      </c>
      <c r="B10" s="26" t="s">
        <v>81</v>
      </c>
      <c r="C10" s="27" t="s">
        <v>82</v>
      </c>
      <c r="D10" s="28" t="s">
        <v>82</v>
      </c>
      <c r="E10" s="28" t="s">
        <v>46</v>
      </c>
      <c r="F10" s="28" t="s">
        <v>47</v>
      </c>
      <c r="G10" s="28" t="s">
        <v>70</v>
      </c>
      <c r="H10" s="29">
        <v>3.2991973020319354</v>
      </c>
      <c r="I10" s="30">
        <v>0.0</v>
      </c>
      <c r="J10" s="30">
        <v>5.753475711220189</v>
      </c>
      <c r="K10" s="30">
        <v>4.989035087719298</v>
      </c>
      <c r="L10" s="31">
        <v>3.8004285714285717</v>
      </c>
      <c r="M10" s="31">
        <v>1.58</v>
      </c>
      <c r="N10" s="31">
        <v>7.2876666666666665</v>
      </c>
      <c r="O10" s="32" t="s">
        <v>54</v>
      </c>
      <c r="P10" s="32" t="s">
        <v>54</v>
      </c>
      <c r="Q10" s="32" t="s">
        <v>54</v>
      </c>
      <c r="R10" s="33" t="str">
        <f t="shared" si="1"/>
        <v>cap</v>
      </c>
      <c r="S10" s="34" t="str">
        <f>IFERROR(__xludf.DUMMYFUNCTION("IF(query(Data!A:M,CONCATENATE(""select Col13 where Col1 = '"",C10,""' and Col8 = 'Bias and Unfair Discrimination'""),0)&gt;70,1,0)"),"#REF!")</f>
        <v>#REF!</v>
      </c>
      <c r="T10" s="34" t="str">
        <f>IFERROR(__xludf.DUMMYFUNCTION("IF(query(Data!A:M,CONCATENATE(""select Col13 where Col1 = '"",C10,""' and Col8 = 'Childrens Rights'""),0)&gt;70,1,0)"),"#REF!")</f>
        <v>#REF!</v>
      </c>
      <c r="U10" s="34" t="str">
        <f>IFERROR(__xludf.DUMMYFUNCTION("IF(query(Data!A:M,CONCATENATE(""select Col13 where Col1 = '"",C10,""' and Col8 = 'Cultural and Linguistic Diversity'""),0)&gt;70,1,0)"),"#REF!")</f>
        <v>#REF!</v>
      </c>
      <c r="V10" s="34" t="str">
        <f>IFERROR(__xludf.DUMMYFUNCTION("IF(query(Data!A:M,CONCATENATE(""select Col13 where Col1 = '"",C10,""' and Col8 = 'Data Protection and Privacy'""),0)&gt;70,1,0)"),"#REF!")</f>
        <v>#REF!</v>
      </c>
      <c r="W10" s="34" t="str">
        <f>IFERROR(__xludf.DUMMYFUNCTION("IF(query(Data!A:M,CONCATENATE(""select Col13 where Col1 = '"",C10,""' and Col8 = 'Gender Equality'""),0)&gt;70,1,0)"),"#REF!")</f>
        <v>#REF!</v>
      </c>
      <c r="X10" s="34" t="str">
        <f>IFERROR(__xludf.DUMMYFUNCTION("IF(query(Data!A:M,CONCATENATE(""select Col13 where Col1 = '"",C10,""' and Col8 = 'Human Oversight and Determination'""),0)&gt;70,1,0)"),"#REF!")</f>
        <v>#REF!</v>
      </c>
      <c r="Y10" s="34" t="str">
        <f>IFERROR(__xludf.DUMMYFUNCTION("IF(query(Data!A:M,CONCATENATE(""select Col13 where Col1 = '"",C10,""' and Col8 = 'Labour Protection and Right to Work'""),0)&gt;70,1,0)"),"#REF!")</f>
        <v>#REF!</v>
      </c>
      <c r="Z10" s="34" t="str">
        <f>IFERROR(__xludf.DUMMYFUNCTION("IF(query(Data!A:M,CONCATENATE(""select Col13 where Col1 = '"",C10,""' and Col8 = 'Safety, Accuracy and Reliability'""),0)&gt;70,1,0)"),"#REF!")</f>
        <v>#REF!</v>
      </c>
      <c r="AA10" s="34" t="str">
        <f>IFERROR(__xludf.DUMMYFUNCTION("IF(query(Data!A:M,CONCATENATE(""select Col13 where Col1 = '"",C10,""' and Col8 = 'Transparency and Explainability'""),0)&gt;70,1,0)"),"#REF!")</f>
        <v>#REF!</v>
      </c>
      <c r="AB10" s="35">
        <f t="shared" si="2"/>
        <v>0</v>
      </c>
      <c r="AC10" s="35">
        <f t="shared" si="3"/>
        <v>0</v>
      </c>
      <c r="AD10" s="35">
        <f t="shared" si="4"/>
        <v>0</v>
      </c>
      <c r="AE10" s="35">
        <f t="shared" si="5"/>
        <v>0</v>
      </c>
      <c r="AF10" s="35">
        <f t="shared" si="6"/>
        <v>0</v>
      </c>
      <c r="AG10" s="35" t="str">
        <f t="shared" si="7"/>
        <v>No</v>
      </c>
      <c r="AH10" s="35" t="str">
        <f>IFERROR(__xludf.DUMMYFUNCTION("IFERROR(query(query(Data!A:BS,CONCATENATE(""select Col50, count(Col49) where Col1 = '"",C10,""' group by Col50"")), CONCATENATE(""select Col1 where Col2 = "",query(query(query(Data!A:BS,CONCATENATE(""select Col50, count(Col49) where Col1 = '"",C10,""' and"&amp;" Col50 &lt;&gt; 'Other' and Col50 is not null group by Col50"")),""select max(Col2)"",0),""Select *"",0),"" limit 1""),0))"),"")</f>
        <v/>
      </c>
      <c r="AI10" s="35" t="str">
        <f t="shared" si="8"/>
        <v/>
      </c>
      <c r="AJ10" s="35" t="str">
        <f t="shared" si="9"/>
        <v>No</v>
      </c>
      <c r="AK10" s="35" t="str">
        <f>IFERROR(__xludf.DUMMYFUNCTION("IFERROR(query(query(Data!A:BS,CONCATENATE(""select Col70, count(Col69) where Col1 = '"",C10,""' group by Col70"")), CONCATENATE(""select Col1 where Col2 = "",query(query(query(Data!A:BS,CONCATENATE(""select Col70, count(Col69) where Col1 = '"",C10,""' and"&amp;" Col70 &lt;&gt; 'Other' and Col70 is not null group by Col70"")),""select max(Col2)"",0),""Select *"",0),"" limit 1""),0))"),"")</f>
        <v/>
      </c>
      <c r="AL10" s="35" t="str">
        <f t="shared" si="10"/>
        <v/>
      </c>
      <c r="AM10" s="35"/>
      <c r="AN10" s="35"/>
      <c r="AO10" s="35"/>
      <c r="AP10" s="35"/>
      <c r="AQ10" s="35"/>
      <c r="AR10" s="35"/>
      <c r="AS10" s="35"/>
      <c r="AT10" s="35"/>
      <c r="AU10" s="35"/>
      <c r="AV10" s="35"/>
    </row>
    <row r="11">
      <c r="A11" s="25">
        <v>10.0</v>
      </c>
      <c r="B11" s="26" t="s">
        <v>83</v>
      </c>
      <c r="C11" s="27" t="s">
        <v>84</v>
      </c>
      <c r="D11" s="28" t="s">
        <v>84</v>
      </c>
      <c r="E11" s="28" t="s">
        <v>46</v>
      </c>
      <c r="F11" s="28" t="s">
        <v>85</v>
      </c>
      <c r="G11" s="28" t="s">
        <v>86</v>
      </c>
      <c r="H11" s="29">
        <v>56.215688551517964</v>
      </c>
      <c r="I11" s="30">
        <v>34.69256899649637</v>
      </c>
      <c r="J11" s="30">
        <v>72.43793527703536</v>
      </c>
      <c r="K11" s="30">
        <v>66.81743421052633</v>
      </c>
      <c r="L11" s="31">
        <v>71.31228571428571</v>
      </c>
      <c r="M11" s="31">
        <v>52.67266666666667</v>
      </c>
      <c r="N11" s="31">
        <v>31.619</v>
      </c>
      <c r="O11" s="32" t="s">
        <v>59</v>
      </c>
      <c r="P11" s="32" t="s">
        <v>59</v>
      </c>
      <c r="Q11" s="32" t="s">
        <v>59</v>
      </c>
      <c r="R11" s="33" t="str">
        <f t="shared" si="1"/>
        <v>ddhh</v>
      </c>
      <c r="S11" s="34" t="str">
        <f>IFERROR(__xludf.DUMMYFUNCTION("IF(query(Data!A:M,CONCATENATE(""select Col13 where Col1 = '"",C11,""' and Col8 = 'Bias and Unfair Discrimination'""),0)&gt;70,1,0)"),"#REF!")</f>
        <v>#REF!</v>
      </c>
      <c r="T11" s="34" t="str">
        <f>IFERROR(__xludf.DUMMYFUNCTION("IF(query(Data!A:M,CONCATENATE(""select Col13 where Col1 = '"",C11,""' and Col8 = 'Childrens Rights'""),0)&gt;70,1,0)"),"#REF!")</f>
        <v>#REF!</v>
      </c>
      <c r="U11" s="34" t="str">
        <f>IFERROR(__xludf.DUMMYFUNCTION("IF(query(Data!A:M,CONCATENATE(""select Col13 where Col1 = '"",C11,""' and Col8 = 'Cultural and Linguistic Diversity'""),0)&gt;70,1,0)"),"#REF!")</f>
        <v>#REF!</v>
      </c>
      <c r="V11" s="34" t="str">
        <f>IFERROR(__xludf.DUMMYFUNCTION("IF(query(Data!A:M,CONCATENATE(""select Col13 where Col1 = '"",C11,""' and Col8 = 'Data Protection and Privacy'""),0)&gt;70,1,0)"),"#REF!")</f>
        <v>#REF!</v>
      </c>
      <c r="W11" s="34" t="str">
        <f>IFERROR(__xludf.DUMMYFUNCTION("IF(query(Data!A:M,CONCATENATE(""select Col13 where Col1 = '"",C11,""' and Col8 = 'Gender Equality'""),0)&gt;70,1,0)"),"#REF!")</f>
        <v>#REF!</v>
      </c>
      <c r="X11" s="34" t="str">
        <f>IFERROR(__xludf.DUMMYFUNCTION("IF(query(Data!A:M,CONCATENATE(""select Col13 where Col1 = '"",C11,""' and Col8 = 'Human Oversight and Determination'""),0)&gt;70,1,0)"),"#REF!")</f>
        <v>#REF!</v>
      </c>
      <c r="Y11" s="34" t="str">
        <f>IFERROR(__xludf.DUMMYFUNCTION("IF(query(Data!A:M,CONCATENATE(""select Col13 where Col1 = '"",C11,""' and Col8 = 'Labour Protection and Right to Work'""),0)&gt;70,1,0)"),"#REF!")</f>
        <v>#REF!</v>
      </c>
      <c r="Z11" s="34" t="str">
        <f>IFERROR(__xludf.DUMMYFUNCTION("IF(query(Data!A:M,CONCATENATE(""select Col13 where Col1 = '"",C11,""' and Col8 = 'Safety, Accuracy and Reliability'""),0)&gt;70,1,0)"),"#REF!")</f>
        <v>#REF!</v>
      </c>
      <c r="AA11" s="34" t="str">
        <f>IFERROR(__xludf.DUMMYFUNCTION("IF(query(Data!A:M,CONCATENATE(""select Col13 where Col1 = '"",C11,""' and Col8 = 'Transparency and Explainability'""),0)&gt;70,1,0)"),"#REF!")</f>
        <v>#REF!</v>
      </c>
      <c r="AB11" s="35">
        <f t="shared" si="2"/>
        <v>0</v>
      </c>
      <c r="AC11" s="35">
        <f t="shared" si="3"/>
        <v>0</v>
      </c>
      <c r="AD11" s="35">
        <f t="shared" si="4"/>
        <v>0</v>
      </c>
      <c r="AE11" s="35">
        <f t="shared" si="5"/>
        <v>0</v>
      </c>
      <c r="AF11" s="35">
        <f t="shared" si="6"/>
        <v>0</v>
      </c>
      <c r="AG11" s="35" t="str">
        <f t="shared" si="7"/>
        <v>No</v>
      </c>
      <c r="AH11" s="35" t="str">
        <f>IFERROR(__xludf.DUMMYFUNCTION("IFERROR(query(query(Data!A:BS,CONCATENATE(""select Col50, count(Col49) where Col1 = '"",C11,""' group by Col50"")), CONCATENATE(""select Col1 where Col2 = "",query(query(query(Data!A:BS,CONCATENATE(""select Col50, count(Col49) where Col1 = '"",C11,""' and"&amp;" Col50 &lt;&gt; 'Other' and Col50 is not null group by Col50"")),""select max(Col2)"",0),""Select *"",0),"" limit 1""),0))"),"")</f>
        <v/>
      </c>
      <c r="AI11" s="35" t="str">
        <f t="shared" si="8"/>
        <v/>
      </c>
      <c r="AJ11" s="35" t="str">
        <f t="shared" si="9"/>
        <v>No</v>
      </c>
      <c r="AK11" s="35" t="str">
        <f>IFERROR(__xludf.DUMMYFUNCTION("IFERROR(query(query(Data!A:BS,CONCATENATE(""select Col70, count(Col69) where Col1 = '"",C11,""' group by Col70"")), CONCATENATE(""select Col1 where Col2 = "",query(query(query(Data!A:BS,CONCATENATE(""select Col70, count(Col69) where Col1 = '"",C11,""' and"&amp;" Col70 &lt;&gt; 'Other' and Col70 is not null group by Col70"")),""select max(Col2)"",0),""Select *"",0),"" limit 1""),0))"),"")</f>
        <v/>
      </c>
      <c r="AL11" s="35" t="str">
        <f t="shared" si="10"/>
        <v/>
      </c>
      <c r="AM11" s="35"/>
      <c r="AN11" s="35"/>
      <c r="AO11" s="35"/>
      <c r="AP11" s="35"/>
      <c r="AQ11" s="35"/>
      <c r="AR11" s="35"/>
      <c r="AS11" s="35"/>
      <c r="AT11" s="35"/>
      <c r="AU11" s="35"/>
      <c r="AV11" s="35"/>
    </row>
    <row r="12">
      <c r="A12" s="25">
        <v>30.0</v>
      </c>
      <c r="B12" s="26" t="s">
        <v>87</v>
      </c>
      <c r="C12" s="27" t="s">
        <v>88</v>
      </c>
      <c r="D12" s="28" t="s">
        <v>88</v>
      </c>
      <c r="E12" s="28" t="s">
        <v>52</v>
      </c>
      <c r="F12" s="28" t="s">
        <v>52</v>
      </c>
      <c r="G12" s="28" t="s">
        <v>58</v>
      </c>
      <c r="H12" s="29">
        <v>35.76249607822351</v>
      </c>
      <c r="I12" s="30">
        <v>55.85071158827397</v>
      </c>
      <c r="J12" s="30">
        <v>26.866932116056745</v>
      </c>
      <c r="K12" s="30">
        <v>13.377192982456135</v>
      </c>
      <c r="L12" s="31">
        <v>28.639428571428574</v>
      </c>
      <c r="M12" s="31">
        <v>37.012333333333345</v>
      </c>
      <c r="N12" s="31">
        <v>48.63366666666667</v>
      </c>
      <c r="O12" s="32" t="s">
        <v>59</v>
      </c>
      <c r="P12" s="32" t="s">
        <v>59</v>
      </c>
      <c r="Q12" s="32" t="s">
        <v>59</v>
      </c>
      <c r="R12" s="33" t="str">
        <f t="shared" si="1"/>
        <v>cap</v>
      </c>
      <c r="S12" s="34" t="str">
        <f>IFERROR(__xludf.DUMMYFUNCTION("IF(query(Data!A:M,CONCATENATE(""select Col13 where Col1 = '"",C12,""' and Col8 = 'Bias and Unfair Discrimination'""),0)&gt;70,1,0)"),"#REF!")</f>
        <v>#REF!</v>
      </c>
      <c r="T12" s="34" t="str">
        <f>IFERROR(__xludf.DUMMYFUNCTION("IF(query(Data!A:M,CONCATENATE(""select Col13 where Col1 = '"",C12,""' and Col8 = 'Childrens Rights'""),0)&gt;70,1,0)"),"#REF!")</f>
        <v>#REF!</v>
      </c>
      <c r="U12" s="34" t="str">
        <f>IFERROR(__xludf.DUMMYFUNCTION("IF(query(Data!A:M,CONCATENATE(""select Col13 where Col1 = '"",C12,""' and Col8 = 'Cultural and Linguistic Diversity'""),0)&gt;70,1,0)"),"#REF!")</f>
        <v>#REF!</v>
      </c>
      <c r="V12" s="34" t="str">
        <f>IFERROR(__xludf.DUMMYFUNCTION("IF(query(Data!A:M,CONCATENATE(""select Col13 where Col1 = '"",C12,""' and Col8 = 'Data Protection and Privacy'""),0)&gt;70,1,0)"),"#REF!")</f>
        <v>#REF!</v>
      </c>
      <c r="W12" s="34" t="str">
        <f>IFERROR(__xludf.DUMMYFUNCTION("IF(query(Data!A:M,CONCATENATE(""select Col13 where Col1 = '"",C12,""' and Col8 = 'Gender Equality'""),0)&gt;70,1,0)"),"#REF!")</f>
        <v>#REF!</v>
      </c>
      <c r="X12" s="34" t="str">
        <f>IFERROR(__xludf.DUMMYFUNCTION("IF(query(Data!A:M,CONCATENATE(""select Col13 where Col1 = '"",C12,""' and Col8 = 'Human Oversight and Determination'""),0)&gt;70,1,0)"),"#REF!")</f>
        <v>#REF!</v>
      </c>
      <c r="Y12" s="34" t="str">
        <f>IFERROR(__xludf.DUMMYFUNCTION("IF(query(Data!A:M,CONCATENATE(""select Col13 where Col1 = '"",C12,""' and Col8 = 'Labour Protection and Right to Work'""),0)&gt;70,1,0)"),"#REF!")</f>
        <v>#REF!</v>
      </c>
      <c r="Z12" s="34" t="str">
        <f>IFERROR(__xludf.DUMMYFUNCTION("IF(query(Data!A:M,CONCATENATE(""select Col13 where Col1 = '"",C12,""' and Col8 = 'Safety, Accuracy and Reliability'""),0)&gt;70,1,0)"),"#REF!")</f>
        <v>#REF!</v>
      </c>
      <c r="AA12" s="34" t="str">
        <f>IFERROR(__xludf.DUMMYFUNCTION("IF(query(Data!A:M,CONCATENATE(""select Col13 where Col1 = '"",C12,""' and Col8 = 'Transparency and Explainability'""),0)&gt;70,1,0)"),"#REF!")</f>
        <v>#REF!</v>
      </c>
      <c r="AB12" s="35">
        <f t="shared" si="2"/>
        <v>0</v>
      </c>
      <c r="AC12" s="35">
        <f t="shared" si="3"/>
        <v>0</v>
      </c>
      <c r="AD12" s="35">
        <f t="shared" si="4"/>
        <v>0</v>
      </c>
      <c r="AE12" s="35">
        <f t="shared" si="5"/>
        <v>0</v>
      </c>
      <c r="AF12" s="35">
        <f t="shared" si="6"/>
        <v>0</v>
      </c>
      <c r="AG12" s="35" t="str">
        <f t="shared" si="7"/>
        <v>No</v>
      </c>
      <c r="AH12" s="35" t="str">
        <f>IFERROR(__xludf.DUMMYFUNCTION("IFERROR(query(query(Data!A:BS,CONCATENATE(""select Col50, count(Col49) where Col1 = '"",C12,""' group by Col50"")), CONCATENATE(""select Col1 where Col2 = "",query(query(query(Data!A:BS,CONCATENATE(""select Col50, count(Col49) where Col1 = '"",C12,""' and"&amp;" Col50 &lt;&gt; 'Other' and Col50 is not null group by Col50"")),""select max(Col2)"",0),""Select *"",0),"" limit 1""),0))"),"")</f>
        <v/>
      </c>
      <c r="AI12" s="35" t="str">
        <f t="shared" si="8"/>
        <v/>
      </c>
      <c r="AJ12" s="35" t="str">
        <f t="shared" si="9"/>
        <v>No</v>
      </c>
      <c r="AK12" s="35" t="str">
        <f>IFERROR(__xludf.DUMMYFUNCTION("IFERROR(query(query(Data!A:BS,CONCATENATE(""select Col70, count(Col69) where Col1 = '"",C12,""' group by Col70"")), CONCATENATE(""select Col1 where Col2 = "",query(query(query(Data!A:BS,CONCATENATE(""select Col70, count(Col69) where Col1 = '"",C12,""' and"&amp;" Col70 &lt;&gt; 'Other' and Col70 is not null group by Col70"")),""select max(Col2)"",0),""Select *"",0),"" limit 1""),0))"),"")</f>
        <v/>
      </c>
      <c r="AL12" s="35" t="str">
        <f t="shared" si="10"/>
        <v/>
      </c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>
      <c r="A13" s="25">
        <v>88.0</v>
      </c>
      <c r="B13" s="26" t="s">
        <v>89</v>
      </c>
      <c r="C13" s="27" t="s">
        <v>90</v>
      </c>
      <c r="D13" s="28" t="s">
        <v>91</v>
      </c>
      <c r="E13" s="28" t="s">
        <v>46</v>
      </c>
      <c r="F13" s="28" t="s">
        <v>47</v>
      </c>
      <c r="G13" s="28" t="s">
        <v>70</v>
      </c>
      <c r="H13" s="29">
        <v>5.864428227742513</v>
      </c>
      <c r="I13" s="30">
        <v>3.7032439750537534</v>
      </c>
      <c r="J13" s="30">
        <v>10.094339752197266</v>
      </c>
      <c r="K13" s="30">
        <v>1.7269736842105259</v>
      </c>
      <c r="L13" s="31">
        <v>2.908142857142857</v>
      </c>
      <c r="M13" s="31">
        <v>5.286888888888889</v>
      </c>
      <c r="N13" s="31">
        <v>14.495</v>
      </c>
      <c r="O13" s="32" t="s">
        <v>80</v>
      </c>
      <c r="P13" s="32" t="s">
        <v>80</v>
      </c>
      <c r="Q13" s="32" t="s">
        <v>49</v>
      </c>
      <c r="R13" s="33" t="str">
        <f t="shared" si="1"/>
        <v>cap</v>
      </c>
      <c r="S13" s="34" t="str">
        <f>IFERROR(__xludf.DUMMYFUNCTION("IF(query(Data!A:M,CONCATENATE(""select Col13 where Col1 = '"",C13,""' and Col8 = 'Bias and Unfair Discrimination'""),0)&gt;70,1,0)"),"#REF!")</f>
        <v>#REF!</v>
      </c>
      <c r="T13" s="34" t="str">
        <f>IFERROR(__xludf.DUMMYFUNCTION("IF(query(Data!A:M,CONCATENATE(""select Col13 where Col1 = '"",C13,""' and Col8 = 'Childrens Rights'""),0)&gt;70,1,0)"),"#REF!")</f>
        <v>#REF!</v>
      </c>
      <c r="U13" s="34" t="str">
        <f>IFERROR(__xludf.DUMMYFUNCTION("IF(query(Data!A:M,CONCATENATE(""select Col13 where Col1 = '"",C13,""' and Col8 = 'Cultural and Linguistic Diversity'""),0)&gt;70,1,0)"),"#REF!")</f>
        <v>#REF!</v>
      </c>
      <c r="V13" s="34" t="str">
        <f>IFERROR(__xludf.DUMMYFUNCTION("IF(query(Data!A:M,CONCATENATE(""select Col13 where Col1 = '"",C13,""' and Col8 = 'Data Protection and Privacy'""),0)&gt;70,1,0)"),"#REF!")</f>
        <v>#REF!</v>
      </c>
      <c r="W13" s="34" t="str">
        <f>IFERROR(__xludf.DUMMYFUNCTION("IF(query(Data!A:M,CONCATENATE(""select Col13 where Col1 = '"",C13,""' and Col8 = 'Gender Equality'""),0)&gt;70,1,0)"),"#REF!")</f>
        <v>#REF!</v>
      </c>
      <c r="X13" s="34" t="str">
        <f>IFERROR(__xludf.DUMMYFUNCTION("IF(query(Data!A:M,CONCATENATE(""select Col13 where Col1 = '"",C13,""' and Col8 = 'Human Oversight and Determination'""),0)&gt;70,1,0)"),"#REF!")</f>
        <v>#REF!</v>
      </c>
      <c r="Y13" s="34" t="str">
        <f>IFERROR(__xludf.DUMMYFUNCTION("IF(query(Data!A:M,CONCATENATE(""select Col13 where Col1 = '"",C13,""' and Col8 = 'Labour Protection and Right to Work'""),0)&gt;70,1,0)"),"#REF!")</f>
        <v>#REF!</v>
      </c>
      <c r="Z13" s="34" t="str">
        <f>IFERROR(__xludf.DUMMYFUNCTION("IF(query(Data!A:M,CONCATENATE(""select Col13 where Col1 = '"",C13,""' and Col8 = 'Safety, Accuracy and Reliability'""),0)&gt;70,1,0)"),"#REF!")</f>
        <v>#REF!</v>
      </c>
      <c r="AA13" s="34" t="str">
        <f>IFERROR(__xludf.DUMMYFUNCTION("IF(query(Data!A:M,CONCATENATE(""select Col13 where Col1 = '"",C13,""' and Col8 = 'Transparency and Explainability'""),0)&gt;70,1,0)"),"#REF!")</f>
        <v>#REF!</v>
      </c>
      <c r="AB13" s="35">
        <f t="shared" si="2"/>
        <v>0</v>
      </c>
      <c r="AC13" s="35">
        <f t="shared" si="3"/>
        <v>0</v>
      </c>
      <c r="AD13" s="35">
        <f t="shared" si="4"/>
        <v>0</v>
      </c>
      <c r="AE13" s="35">
        <f t="shared" si="5"/>
        <v>0</v>
      </c>
      <c r="AF13" s="35">
        <f t="shared" si="6"/>
        <v>0</v>
      </c>
      <c r="AG13" s="35" t="str">
        <f t="shared" si="7"/>
        <v>No</v>
      </c>
      <c r="AH13" s="35" t="str">
        <f>IFERROR(__xludf.DUMMYFUNCTION("IFERROR(query(query(Data!A:BS,CONCATENATE(""select Col50, count(Col49) where Col1 = '"",C13,""' group by Col50"")), CONCATENATE(""select Col1 where Col2 = "",query(query(query(Data!A:BS,CONCATENATE(""select Col50, count(Col49) where Col1 = '"",C13,""' and"&amp;" Col50 &lt;&gt; 'Other' and Col50 is not null group by Col50"")),""select max(Col2)"",0),""Select *"",0),"" limit 1""),0))"),"")</f>
        <v/>
      </c>
      <c r="AI13" s="35" t="str">
        <f t="shared" si="8"/>
        <v/>
      </c>
      <c r="AJ13" s="35" t="str">
        <f t="shared" si="9"/>
        <v>No</v>
      </c>
      <c r="AK13" s="35" t="str">
        <f>IFERROR(__xludf.DUMMYFUNCTION("IFERROR(query(query(Data!A:BS,CONCATENATE(""select Col70, count(Col69) where Col1 = '"",C13,""' group by Col70"")), CONCATENATE(""select Col1 where Col2 = "",query(query(query(Data!A:BS,CONCATENATE(""select Col70, count(Col69) where Col1 = '"",C13,""' and"&amp;" Col70 &lt;&gt; 'Other' and Col70 is not null group by Col70"")),""select max(Col2)"",0),""Select *"",0),"" limit 1""),0))"),"")</f>
        <v/>
      </c>
      <c r="AL13" s="35" t="str">
        <f t="shared" si="10"/>
        <v/>
      </c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>
      <c r="A14" s="25">
        <v>112.0</v>
      </c>
      <c r="B14" s="26" t="s">
        <v>92</v>
      </c>
      <c r="C14" s="27" t="s">
        <v>93</v>
      </c>
      <c r="D14" s="28" t="s">
        <v>93</v>
      </c>
      <c r="E14" s="28" t="s">
        <v>63</v>
      </c>
      <c r="F14" s="28" t="s">
        <v>64</v>
      </c>
      <c r="G14" s="28" t="s">
        <v>65</v>
      </c>
      <c r="H14" s="29">
        <v>1.9238662612647341</v>
      </c>
      <c r="I14" s="30">
        <v>0.0</v>
      </c>
      <c r="J14" s="30">
        <v>3.9324726707056947</v>
      </c>
      <c r="K14" s="30">
        <v>1.7543859649122804</v>
      </c>
      <c r="L14" s="31">
        <v>0.9524285714285714</v>
      </c>
      <c r="M14" s="31">
        <v>0.0</v>
      </c>
      <c r="N14" s="31">
        <v>9.962333333333333</v>
      </c>
      <c r="O14" s="32" t="s">
        <v>54</v>
      </c>
      <c r="P14" s="32" t="s">
        <v>54</v>
      </c>
      <c r="Q14" s="32" t="s">
        <v>59</v>
      </c>
      <c r="R14" s="33" t="str">
        <f t="shared" si="1"/>
        <v>cap</v>
      </c>
      <c r="S14" s="34" t="str">
        <f>IFERROR(__xludf.DUMMYFUNCTION("IF(query(Data!A:M,CONCATENATE(""select Col13 where Col1 = '"",C14,""' and Col8 = 'Bias and Unfair Discrimination'""),0)&gt;70,1,0)"),"#REF!")</f>
        <v>#REF!</v>
      </c>
      <c r="T14" s="34" t="str">
        <f>IFERROR(__xludf.DUMMYFUNCTION("IF(query(Data!A:M,CONCATENATE(""select Col13 where Col1 = '"",C14,""' and Col8 = 'Childrens Rights'""),0)&gt;70,1,0)"),"#REF!")</f>
        <v>#REF!</v>
      </c>
      <c r="U14" s="34" t="str">
        <f>IFERROR(__xludf.DUMMYFUNCTION("IF(query(Data!A:M,CONCATENATE(""select Col13 where Col1 = '"",C14,""' and Col8 = 'Cultural and Linguistic Diversity'""),0)&gt;70,1,0)"),"#REF!")</f>
        <v>#REF!</v>
      </c>
      <c r="V14" s="34" t="str">
        <f>IFERROR(__xludf.DUMMYFUNCTION("IF(query(Data!A:M,CONCATENATE(""select Col13 where Col1 = '"",C14,""' and Col8 = 'Data Protection and Privacy'""),0)&gt;70,1,0)"),"#REF!")</f>
        <v>#REF!</v>
      </c>
      <c r="W14" s="34" t="str">
        <f>IFERROR(__xludf.DUMMYFUNCTION("IF(query(Data!A:M,CONCATENATE(""select Col13 where Col1 = '"",C14,""' and Col8 = 'Gender Equality'""),0)&gt;70,1,0)"),"#REF!")</f>
        <v>#REF!</v>
      </c>
      <c r="X14" s="34" t="str">
        <f>IFERROR(__xludf.DUMMYFUNCTION("IF(query(Data!A:M,CONCATENATE(""select Col13 where Col1 = '"",C14,""' and Col8 = 'Human Oversight and Determination'""),0)&gt;70,1,0)"),"#REF!")</f>
        <v>#REF!</v>
      </c>
      <c r="Y14" s="34" t="str">
        <f>IFERROR(__xludf.DUMMYFUNCTION("IF(query(Data!A:M,CONCATENATE(""select Col13 where Col1 = '"",C14,""' and Col8 = 'Labour Protection and Right to Work'""),0)&gt;70,1,0)"),"#REF!")</f>
        <v>#REF!</v>
      </c>
      <c r="Z14" s="34" t="str">
        <f>IFERROR(__xludf.DUMMYFUNCTION("IF(query(Data!A:M,CONCATENATE(""select Col13 where Col1 = '"",C14,""' and Col8 = 'Safety, Accuracy and Reliability'""),0)&gt;70,1,0)"),"#REF!")</f>
        <v>#REF!</v>
      </c>
      <c r="AA14" s="34" t="str">
        <f>IFERROR(__xludf.DUMMYFUNCTION("IF(query(Data!A:M,CONCATENATE(""select Col13 where Col1 = '"",C14,""' and Col8 = 'Transparency and Explainability'""),0)&gt;70,1,0)"),"#REF!")</f>
        <v>#REF!</v>
      </c>
      <c r="AB14" s="35">
        <f t="shared" si="2"/>
        <v>0</v>
      </c>
      <c r="AC14" s="35">
        <f t="shared" si="3"/>
        <v>0</v>
      </c>
      <c r="AD14" s="35">
        <f t="shared" si="4"/>
        <v>0</v>
      </c>
      <c r="AE14" s="35">
        <f t="shared" si="5"/>
        <v>0</v>
      </c>
      <c r="AF14" s="35">
        <f t="shared" si="6"/>
        <v>0</v>
      </c>
      <c r="AG14" s="35" t="str">
        <f t="shared" si="7"/>
        <v>No</v>
      </c>
      <c r="AH14" s="35" t="str">
        <f>IFERROR(__xludf.DUMMYFUNCTION("IFERROR(query(query(Data!A:BS,CONCATENATE(""select Col50, count(Col49) where Col1 = '"",C14,""' group by Col50"")), CONCATENATE(""select Col1 where Col2 = "",query(query(query(Data!A:BS,CONCATENATE(""select Col50, count(Col49) where Col1 = '"",C14,""' and"&amp;" Col50 &lt;&gt; 'Other' and Col50 is not null group by Col50"")),""select max(Col2)"",0),""Select *"",0),"" limit 1""),0))"),"")</f>
        <v/>
      </c>
      <c r="AI14" s="35" t="str">
        <f t="shared" si="8"/>
        <v/>
      </c>
      <c r="AJ14" s="35" t="str">
        <f t="shared" si="9"/>
        <v>No</v>
      </c>
      <c r="AK14" s="35" t="str">
        <f>IFERROR(__xludf.DUMMYFUNCTION("IFERROR(query(query(Data!A:BS,CONCATENATE(""select Col70, count(Col69) where Col1 = '"",C14,""' group by Col70"")), CONCATENATE(""select Col1 where Col2 = "",query(query(query(Data!A:BS,CONCATENATE(""select Col70, count(Col69) where Col1 = '"",C14,""' and"&amp;" Col70 &lt;&gt; 'Other' and Col70 is not null group by Col70"")),""select max(Col2)"",0),""Select *"",0),"" limit 1""),0))"),"")</f>
        <v/>
      </c>
      <c r="AL14" s="35" t="str">
        <f t="shared" si="10"/>
        <v/>
      </c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>
      <c r="A15" s="25">
        <v>78.0</v>
      </c>
      <c r="B15" s="26" t="s">
        <v>94</v>
      </c>
      <c r="C15" s="27" t="s">
        <v>95</v>
      </c>
      <c r="D15" s="28" t="s">
        <v>96</v>
      </c>
      <c r="E15" s="28" t="s">
        <v>69</v>
      </c>
      <c r="F15" s="28" t="s">
        <v>47</v>
      </c>
      <c r="G15" s="28" t="s">
        <v>70</v>
      </c>
      <c r="H15" s="29">
        <v>8.712926273011325</v>
      </c>
      <c r="I15" s="30">
        <v>9.673948957209001</v>
      </c>
      <c r="J15" s="30">
        <v>10.957050935845626</v>
      </c>
      <c r="K15" s="30">
        <v>2.302631578947368</v>
      </c>
      <c r="L15" s="31">
        <v>9.375142857142858</v>
      </c>
      <c r="M15" s="31">
        <v>5.154111111111111</v>
      </c>
      <c r="N15" s="31">
        <v>17.844666666666665</v>
      </c>
      <c r="O15" s="32" t="s">
        <v>54</v>
      </c>
      <c r="P15" s="32" t="s">
        <v>54</v>
      </c>
      <c r="Q15" s="32" t="s">
        <v>49</v>
      </c>
      <c r="R15" s="33" t="str">
        <f t="shared" si="1"/>
        <v>cap</v>
      </c>
      <c r="S15" s="34" t="str">
        <f>IFERROR(__xludf.DUMMYFUNCTION("IF(query(Data!A:M,CONCATENATE(""select Col13 where Col1 = '"",C15,""' and Col8 = 'Bias and Unfair Discrimination'""),0)&gt;70,1,0)"),"#REF!")</f>
        <v>#REF!</v>
      </c>
      <c r="T15" s="34" t="str">
        <f>IFERROR(__xludf.DUMMYFUNCTION("IF(query(Data!A:M,CONCATENATE(""select Col13 where Col1 = '"",C15,""' and Col8 = 'Childrens Rights'""),0)&gt;70,1,0)"),"#REF!")</f>
        <v>#REF!</v>
      </c>
      <c r="U15" s="34" t="str">
        <f>IFERROR(__xludf.DUMMYFUNCTION("IF(query(Data!A:M,CONCATENATE(""select Col13 where Col1 = '"",C15,""' and Col8 = 'Cultural and Linguistic Diversity'""),0)&gt;70,1,0)"),"#REF!")</f>
        <v>#REF!</v>
      </c>
      <c r="V15" s="34" t="str">
        <f>IFERROR(__xludf.DUMMYFUNCTION("IF(query(Data!A:M,CONCATENATE(""select Col13 where Col1 = '"",C15,""' and Col8 = 'Data Protection and Privacy'""),0)&gt;70,1,0)"),"#REF!")</f>
        <v>#REF!</v>
      </c>
      <c r="W15" s="34" t="str">
        <f>IFERROR(__xludf.DUMMYFUNCTION("IF(query(Data!A:M,CONCATENATE(""select Col13 where Col1 = '"",C15,""' and Col8 = 'Gender Equality'""),0)&gt;70,1,0)"),"#REF!")</f>
        <v>#REF!</v>
      </c>
      <c r="X15" s="34" t="str">
        <f>IFERROR(__xludf.DUMMYFUNCTION("IF(query(Data!A:M,CONCATENATE(""select Col13 where Col1 = '"",C15,""' and Col8 = 'Human Oversight and Determination'""),0)&gt;70,1,0)"),"#REF!")</f>
        <v>#REF!</v>
      </c>
      <c r="Y15" s="34" t="str">
        <f>IFERROR(__xludf.DUMMYFUNCTION("IF(query(Data!A:M,CONCATENATE(""select Col13 where Col1 = '"",C15,""' and Col8 = 'Labour Protection and Right to Work'""),0)&gt;70,1,0)"),"#REF!")</f>
        <v>#REF!</v>
      </c>
      <c r="Z15" s="34" t="str">
        <f>IFERROR(__xludf.DUMMYFUNCTION("IF(query(Data!A:M,CONCATENATE(""select Col13 where Col1 = '"",C15,""' and Col8 = 'Safety, Accuracy and Reliability'""),0)&gt;70,1,0)"),"#REF!")</f>
        <v>#REF!</v>
      </c>
      <c r="AA15" s="34" t="str">
        <f>IFERROR(__xludf.DUMMYFUNCTION("IF(query(Data!A:M,CONCATENATE(""select Col13 where Col1 = '"",C15,""' and Col8 = 'Transparency and Explainability'""),0)&gt;70,1,0)"),"#REF!")</f>
        <v>#REF!</v>
      </c>
      <c r="AB15" s="35">
        <f t="shared" si="2"/>
        <v>0</v>
      </c>
      <c r="AC15" s="35">
        <f t="shared" si="3"/>
        <v>0</v>
      </c>
      <c r="AD15" s="35">
        <f t="shared" si="4"/>
        <v>0</v>
      </c>
      <c r="AE15" s="35">
        <f t="shared" si="5"/>
        <v>0</v>
      </c>
      <c r="AF15" s="35">
        <f t="shared" si="6"/>
        <v>0</v>
      </c>
      <c r="AG15" s="35" t="str">
        <f t="shared" si="7"/>
        <v>No</v>
      </c>
      <c r="AH15" s="35" t="str">
        <f>IFERROR(__xludf.DUMMYFUNCTION("IFERROR(query(query(Data!A:BS,CONCATENATE(""select Col50, count(Col49) where Col1 = '"",C15,""' group by Col50"")), CONCATENATE(""select Col1 where Col2 = "",query(query(query(Data!A:BS,CONCATENATE(""select Col50, count(Col49) where Col1 = '"",C15,""' and"&amp;" Col50 &lt;&gt; 'Other' and Col50 is not null group by Col50"")),""select max(Col2)"",0),""Select *"",0),"" limit 1""),0))"),"")</f>
        <v/>
      </c>
      <c r="AI15" s="35" t="str">
        <f t="shared" si="8"/>
        <v/>
      </c>
      <c r="AJ15" s="35" t="str">
        <f t="shared" si="9"/>
        <v>No</v>
      </c>
      <c r="AK15" s="35" t="str">
        <f>IFERROR(__xludf.DUMMYFUNCTION("IFERROR(query(query(Data!A:BS,CONCATENATE(""select Col70, count(Col69) where Col1 = '"",C15,""' group by Col70"")), CONCATENATE(""select Col1 where Col2 = "",query(query(query(Data!A:BS,CONCATENATE(""select Col70, count(Col69) where Col1 = '"",C15,""' and"&amp;" Col70 &lt;&gt; 'Other' and Col70 is not null group by Col70"")),""select max(Col2)"",0),""Select *"",0),"" limit 1""),0))"),"")</f>
        <v/>
      </c>
      <c r="AL15" s="35" t="str">
        <f t="shared" si="10"/>
        <v/>
      </c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>
      <c r="A16" s="25">
        <v>24.0</v>
      </c>
      <c r="B16" s="26" t="s">
        <v>97</v>
      </c>
      <c r="C16" s="27" t="s">
        <v>98</v>
      </c>
      <c r="D16" s="28" t="s">
        <v>99</v>
      </c>
      <c r="E16" s="28" t="s">
        <v>52</v>
      </c>
      <c r="F16" s="28" t="s">
        <v>52</v>
      </c>
      <c r="G16" s="28" t="s">
        <v>58</v>
      </c>
      <c r="H16" s="29">
        <v>38.54565969232927</v>
      </c>
      <c r="I16" s="30">
        <v>57.23684210526316</v>
      </c>
      <c r="J16" s="30">
        <v>27.13443431854248</v>
      </c>
      <c r="K16" s="30">
        <v>23.985745614035082</v>
      </c>
      <c r="L16" s="31">
        <v>40.353142857142856</v>
      </c>
      <c r="M16" s="31">
        <v>41.61933333333334</v>
      </c>
      <c r="N16" s="31">
        <v>25.107</v>
      </c>
      <c r="O16" s="32" t="s">
        <v>59</v>
      </c>
      <c r="P16" s="32" t="s">
        <v>59</v>
      </c>
      <c r="Q16" s="32" t="s">
        <v>59</v>
      </c>
      <c r="R16" s="33" t="str">
        <f t="shared" si="1"/>
        <v>gob</v>
      </c>
      <c r="S16" s="34" t="str">
        <f>IFERROR(__xludf.DUMMYFUNCTION("IF(query(Data!A:M,CONCATENATE(""select Col13 where Col1 = '"",C16,""' and Col8 = 'Bias and Unfair Discrimination'""),0)&gt;70,1,0)"),"#REF!")</f>
        <v>#REF!</v>
      </c>
      <c r="T16" s="34" t="str">
        <f>IFERROR(__xludf.DUMMYFUNCTION("IF(query(Data!A:M,CONCATENATE(""select Col13 where Col1 = '"",C16,""' and Col8 = 'Childrens Rights'""),0)&gt;70,1,0)"),"#REF!")</f>
        <v>#REF!</v>
      </c>
      <c r="U16" s="34" t="str">
        <f>IFERROR(__xludf.DUMMYFUNCTION("IF(query(Data!A:M,CONCATENATE(""select Col13 where Col1 = '"",C16,""' and Col8 = 'Cultural and Linguistic Diversity'""),0)&gt;70,1,0)"),"#REF!")</f>
        <v>#REF!</v>
      </c>
      <c r="V16" s="34" t="str">
        <f>IFERROR(__xludf.DUMMYFUNCTION("IF(query(Data!A:M,CONCATENATE(""select Col13 where Col1 = '"",C16,""' and Col8 = 'Data Protection and Privacy'""),0)&gt;70,1,0)"),"#REF!")</f>
        <v>#REF!</v>
      </c>
      <c r="W16" s="34" t="str">
        <f>IFERROR(__xludf.DUMMYFUNCTION("IF(query(Data!A:M,CONCATENATE(""select Col13 where Col1 = '"",C16,""' and Col8 = 'Gender Equality'""),0)&gt;70,1,0)"),"#REF!")</f>
        <v>#REF!</v>
      </c>
      <c r="X16" s="34" t="str">
        <f>IFERROR(__xludf.DUMMYFUNCTION("IF(query(Data!A:M,CONCATENATE(""select Col13 where Col1 = '"",C16,""' and Col8 = 'Human Oversight and Determination'""),0)&gt;70,1,0)"),"#REF!")</f>
        <v>#REF!</v>
      </c>
      <c r="Y16" s="34" t="str">
        <f>IFERROR(__xludf.DUMMYFUNCTION("IF(query(Data!A:M,CONCATENATE(""select Col13 where Col1 = '"",C16,""' and Col8 = 'Labour Protection and Right to Work'""),0)&gt;70,1,0)"),"#REF!")</f>
        <v>#REF!</v>
      </c>
      <c r="Z16" s="34" t="str">
        <f>IFERROR(__xludf.DUMMYFUNCTION("IF(query(Data!A:M,CONCATENATE(""select Col13 where Col1 = '"",C16,""' and Col8 = 'Safety, Accuracy and Reliability'""),0)&gt;70,1,0)"),"#REF!")</f>
        <v>#REF!</v>
      </c>
      <c r="AA16" s="34" t="str">
        <f>IFERROR(__xludf.DUMMYFUNCTION("IF(query(Data!A:M,CONCATENATE(""select Col13 where Col1 = '"",C16,""' and Col8 = 'Transparency and Explainability'""),0)&gt;70,1,0)"),"#REF!")</f>
        <v>#REF!</v>
      </c>
      <c r="AB16" s="35">
        <f t="shared" si="2"/>
        <v>0</v>
      </c>
      <c r="AC16" s="35">
        <f t="shared" si="3"/>
        <v>0</v>
      </c>
      <c r="AD16" s="35">
        <f t="shared" si="4"/>
        <v>0</v>
      </c>
      <c r="AE16" s="35">
        <f t="shared" si="5"/>
        <v>0</v>
      </c>
      <c r="AF16" s="35">
        <f t="shared" si="6"/>
        <v>0</v>
      </c>
      <c r="AG16" s="35" t="str">
        <f t="shared" si="7"/>
        <v>No</v>
      </c>
      <c r="AH16" s="35" t="str">
        <f>IFERROR(__xludf.DUMMYFUNCTION("IFERROR(query(query(Data!A:BS,CONCATENATE(""select Col50, count(Col49) where Col1 = '"",C16,""' group by Col50"")), CONCATENATE(""select Col1 where Col2 = "",query(query(query(Data!A:BS,CONCATENATE(""select Col50, count(Col49) where Col1 = '"",C16,""' and"&amp;" Col50 &lt;&gt; 'Other' and Col50 is not null group by Col50"")),""select max(Col2)"",0),""Select *"",0),"" limit 1""),0))"),"")</f>
        <v/>
      </c>
      <c r="AI16" s="35" t="str">
        <f t="shared" si="8"/>
        <v/>
      </c>
      <c r="AJ16" s="35" t="str">
        <f t="shared" si="9"/>
        <v>No</v>
      </c>
      <c r="AK16" s="35" t="str">
        <f>IFERROR(__xludf.DUMMYFUNCTION("IFERROR(query(query(Data!A:BS,CONCATENATE(""select Col70, count(Col69) where Col1 = '"",C16,""' group by Col70"")), CONCATENATE(""select Col1 where Col2 = "",query(query(query(Data!A:BS,CONCATENATE(""select Col70, count(Col69) where Col1 = '"",C16,""' and"&amp;" Col70 &lt;&gt; 'Other' and Col70 is not null group by Col70"")),""select max(Col2)"",0),""Select *"",0),"" limit 1""),0))"),"")</f>
        <v/>
      </c>
      <c r="AL16" s="35" t="str">
        <f t="shared" si="10"/>
        <v/>
      </c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>
      <c r="A17" s="25">
        <v>102.0</v>
      </c>
      <c r="B17" s="26" t="s">
        <v>100</v>
      </c>
      <c r="C17" s="27" t="s">
        <v>101</v>
      </c>
      <c r="D17" s="28" t="s">
        <v>102</v>
      </c>
      <c r="E17" s="28" t="s">
        <v>63</v>
      </c>
      <c r="F17" s="28" t="s">
        <v>64</v>
      </c>
      <c r="G17" s="28" t="s">
        <v>65</v>
      </c>
      <c r="H17" s="29">
        <v>3.220829227849057</v>
      </c>
      <c r="I17" s="30">
        <v>0.0</v>
      </c>
      <c r="J17" s="30">
        <v>8.052073069622642</v>
      </c>
      <c r="K17" s="30">
        <v>0.0</v>
      </c>
      <c r="L17" s="31">
        <v>2.914142857142857</v>
      </c>
      <c r="M17" s="31">
        <v>2.2665555555555557</v>
      </c>
      <c r="N17" s="31">
        <v>6.799666666666667</v>
      </c>
      <c r="O17" s="32" t="s">
        <v>76</v>
      </c>
      <c r="P17" s="32" t="s">
        <v>80</v>
      </c>
      <c r="Q17" s="32" t="s">
        <v>59</v>
      </c>
      <c r="R17" s="33" t="str">
        <f t="shared" si="1"/>
        <v>cap</v>
      </c>
      <c r="S17" s="34" t="str">
        <f>IFERROR(__xludf.DUMMYFUNCTION("IF(query(Data!A:M,CONCATENATE(""select Col13 where Col1 = '"",C17,""' and Col8 = 'Bias and Unfair Discrimination'""),0)&gt;70,1,0)"),"#REF!")</f>
        <v>#REF!</v>
      </c>
      <c r="T17" s="34" t="str">
        <f>IFERROR(__xludf.DUMMYFUNCTION("IF(query(Data!A:M,CONCATENATE(""select Col13 where Col1 = '"",C17,""' and Col8 = 'Childrens Rights'""),0)&gt;70,1,0)"),"#REF!")</f>
        <v>#REF!</v>
      </c>
      <c r="U17" s="34" t="str">
        <f>IFERROR(__xludf.DUMMYFUNCTION("IF(query(Data!A:M,CONCATENATE(""select Col13 where Col1 = '"",C17,""' and Col8 = 'Cultural and Linguistic Diversity'""),0)&gt;70,1,0)"),"#REF!")</f>
        <v>#REF!</v>
      </c>
      <c r="V17" s="34" t="str">
        <f>IFERROR(__xludf.DUMMYFUNCTION("IF(query(Data!A:M,CONCATENATE(""select Col13 where Col1 = '"",C17,""' and Col8 = 'Data Protection and Privacy'""),0)&gt;70,1,0)"),"#REF!")</f>
        <v>#REF!</v>
      </c>
      <c r="W17" s="34" t="str">
        <f>IFERROR(__xludf.DUMMYFUNCTION("IF(query(Data!A:M,CONCATENATE(""select Col13 where Col1 = '"",C17,""' and Col8 = 'Gender Equality'""),0)&gt;70,1,0)"),"#REF!")</f>
        <v>#REF!</v>
      </c>
      <c r="X17" s="34" t="str">
        <f>IFERROR(__xludf.DUMMYFUNCTION("IF(query(Data!A:M,CONCATENATE(""select Col13 where Col1 = '"",C17,""' and Col8 = 'Human Oversight and Determination'""),0)&gt;70,1,0)"),"#REF!")</f>
        <v>#REF!</v>
      </c>
      <c r="Y17" s="34" t="str">
        <f>IFERROR(__xludf.DUMMYFUNCTION("IF(query(Data!A:M,CONCATENATE(""select Col13 where Col1 = '"",C17,""' and Col8 = 'Labour Protection and Right to Work'""),0)&gt;70,1,0)"),"#REF!")</f>
        <v>#REF!</v>
      </c>
      <c r="Z17" s="34" t="str">
        <f>IFERROR(__xludf.DUMMYFUNCTION("IF(query(Data!A:M,CONCATENATE(""select Col13 where Col1 = '"",C17,""' and Col8 = 'Safety, Accuracy and Reliability'""),0)&gt;70,1,0)"),"#REF!")</f>
        <v>#REF!</v>
      </c>
      <c r="AA17" s="34" t="str">
        <f>IFERROR(__xludf.DUMMYFUNCTION("IF(query(Data!A:M,CONCATENATE(""select Col13 where Col1 = '"",C17,""' and Col8 = 'Transparency and Explainability'""),0)&gt;70,1,0)"),"#REF!")</f>
        <v>#REF!</v>
      </c>
      <c r="AB17" s="35">
        <f t="shared" si="2"/>
        <v>0</v>
      </c>
      <c r="AC17" s="35">
        <f t="shared" si="3"/>
        <v>0</v>
      </c>
      <c r="AD17" s="35">
        <f t="shared" si="4"/>
        <v>0</v>
      </c>
      <c r="AE17" s="35">
        <f t="shared" si="5"/>
        <v>0</v>
      </c>
      <c r="AF17" s="35">
        <f t="shared" si="6"/>
        <v>0</v>
      </c>
      <c r="AG17" s="35" t="str">
        <f t="shared" si="7"/>
        <v>No</v>
      </c>
      <c r="AH17" s="35" t="str">
        <f>IFERROR(__xludf.DUMMYFUNCTION("IFERROR(query(query(Data!A:BS,CONCATENATE(""select Col50, count(Col49) where Col1 = '"",C17,""' group by Col50"")), CONCATENATE(""select Col1 where Col2 = "",query(query(query(Data!A:BS,CONCATENATE(""select Col50, count(Col49) where Col1 = '"",C17,""' and"&amp;" Col50 &lt;&gt; 'Other' and Col50 is not null group by Col50"")),""select max(Col2)"",0),""Select *"",0),"" limit 1""),0))"),"")</f>
        <v/>
      </c>
      <c r="AI17" s="35" t="str">
        <f t="shared" si="8"/>
        <v/>
      </c>
      <c r="AJ17" s="35" t="str">
        <f t="shared" si="9"/>
        <v>No</v>
      </c>
      <c r="AK17" s="35" t="str">
        <f>IFERROR(__xludf.DUMMYFUNCTION("IFERROR(query(query(Data!A:BS,CONCATENATE(""select Col70, count(Col69) where Col1 = '"",C17,""' group by Col70"")), CONCATENATE(""select Col1 where Col2 = "",query(query(query(Data!A:BS,CONCATENATE(""select Col70, count(Col69) where Col1 = '"",C17,""' and"&amp;" Col70 &lt;&gt; 'Other' and Col70 is not null group by Col70"")),""select max(Col2)"",0),""Select *"",0),"" limit 1""),0))"),"")</f>
        <v/>
      </c>
      <c r="AL17" s="35" t="str">
        <f t="shared" si="10"/>
        <v/>
      </c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>
      <c r="A18" s="25">
        <v>53.0</v>
      </c>
      <c r="B18" s="26" t="s">
        <v>103</v>
      </c>
      <c r="C18" s="27" t="s">
        <v>104</v>
      </c>
      <c r="D18" s="28" t="s">
        <v>105</v>
      </c>
      <c r="E18" s="28" t="s">
        <v>74</v>
      </c>
      <c r="F18" s="28" t="s">
        <v>74</v>
      </c>
      <c r="G18" s="28" t="s">
        <v>106</v>
      </c>
      <c r="H18" s="29">
        <v>21.958767948819883</v>
      </c>
      <c r="I18" s="30">
        <v>16.882861693700153</v>
      </c>
      <c r="J18" s="30">
        <v>22.183466073086386</v>
      </c>
      <c r="K18" s="30">
        <v>31.661184210526315</v>
      </c>
      <c r="L18" s="31">
        <v>19.024571428571427</v>
      </c>
      <c r="M18" s="31">
        <v>22.241444444444443</v>
      </c>
      <c r="N18" s="31">
        <v>27.957333333333334</v>
      </c>
      <c r="O18" s="32" t="s">
        <v>80</v>
      </c>
      <c r="P18" s="32" t="s">
        <v>54</v>
      </c>
      <c r="Q18" s="32" t="s">
        <v>59</v>
      </c>
      <c r="R18" s="33" t="str">
        <f t="shared" si="1"/>
        <v>cap</v>
      </c>
      <c r="S18" s="34" t="str">
        <f>IFERROR(__xludf.DUMMYFUNCTION("IF(query(Data!A:M,CONCATENATE(""select Col13 where Col1 = '"",C18,""' and Col8 = 'Bias and Unfair Discrimination'""),0)&gt;70,1,0)"),"#REF!")</f>
        <v>#REF!</v>
      </c>
      <c r="T18" s="34" t="str">
        <f>IFERROR(__xludf.DUMMYFUNCTION("IF(query(Data!A:M,CONCATENATE(""select Col13 where Col1 = '"",C18,""' and Col8 = 'Childrens Rights'""),0)&gt;70,1,0)"),"#REF!")</f>
        <v>#REF!</v>
      </c>
      <c r="U18" s="34" t="str">
        <f>IFERROR(__xludf.DUMMYFUNCTION("IF(query(Data!A:M,CONCATENATE(""select Col13 where Col1 = '"",C18,""' and Col8 = 'Cultural and Linguistic Diversity'""),0)&gt;70,1,0)"),"#REF!")</f>
        <v>#REF!</v>
      </c>
      <c r="V18" s="34" t="str">
        <f>IFERROR(__xludf.DUMMYFUNCTION("IF(query(Data!A:M,CONCATENATE(""select Col13 where Col1 = '"",C18,""' and Col8 = 'Data Protection and Privacy'""),0)&gt;70,1,0)"),"#REF!")</f>
        <v>#REF!</v>
      </c>
      <c r="W18" s="34" t="str">
        <f>IFERROR(__xludf.DUMMYFUNCTION("IF(query(Data!A:M,CONCATENATE(""select Col13 where Col1 = '"",C18,""' and Col8 = 'Gender Equality'""),0)&gt;70,1,0)"),"#REF!")</f>
        <v>#REF!</v>
      </c>
      <c r="X18" s="34" t="str">
        <f>IFERROR(__xludf.DUMMYFUNCTION("IF(query(Data!A:M,CONCATENATE(""select Col13 where Col1 = '"",C18,""' and Col8 = 'Human Oversight and Determination'""),0)&gt;70,1,0)"),"#REF!")</f>
        <v>#REF!</v>
      </c>
      <c r="Y18" s="34" t="str">
        <f>IFERROR(__xludf.DUMMYFUNCTION("IF(query(Data!A:M,CONCATENATE(""select Col13 where Col1 = '"",C18,""' and Col8 = 'Labour Protection and Right to Work'""),0)&gt;70,1,0)"),"#REF!")</f>
        <v>#REF!</v>
      </c>
      <c r="Z18" s="34" t="str">
        <f>IFERROR(__xludf.DUMMYFUNCTION("IF(query(Data!A:M,CONCATENATE(""select Col13 where Col1 = '"",C18,""' and Col8 = 'Safety, Accuracy and Reliability'""),0)&gt;70,1,0)"),"#REF!")</f>
        <v>#REF!</v>
      </c>
      <c r="AA18" s="34" t="str">
        <f>IFERROR(__xludf.DUMMYFUNCTION("IF(query(Data!A:M,CONCATENATE(""select Col13 where Col1 = '"",C18,""' and Col8 = 'Transparency and Explainability'""),0)&gt;70,1,0)"),"#REF!")</f>
        <v>#REF!</v>
      </c>
      <c r="AB18" s="35">
        <f t="shared" si="2"/>
        <v>0</v>
      </c>
      <c r="AC18" s="35">
        <f t="shared" si="3"/>
        <v>0</v>
      </c>
      <c r="AD18" s="35">
        <f t="shared" si="4"/>
        <v>0</v>
      </c>
      <c r="AE18" s="35">
        <f t="shared" si="5"/>
        <v>0</v>
      </c>
      <c r="AF18" s="35">
        <f t="shared" si="6"/>
        <v>0</v>
      </c>
      <c r="AG18" s="35" t="str">
        <f t="shared" si="7"/>
        <v>No</v>
      </c>
      <c r="AH18" s="35" t="str">
        <f>IFERROR(__xludf.DUMMYFUNCTION("IFERROR(query(query(Data!A:BS,CONCATENATE(""select Col50, count(Col49) where Col1 = '"",C18,""' group by Col50"")), CONCATENATE(""select Col1 where Col2 = "",query(query(query(Data!A:BS,CONCATENATE(""select Col50, count(Col49) where Col1 = '"",C18,""' and"&amp;" Col50 &lt;&gt; 'Other' and Col50 is not null group by Col50"")),""select max(Col2)"",0),""Select *"",0),"" limit 1""),0))"),"")</f>
        <v/>
      </c>
      <c r="AI18" s="35" t="str">
        <f t="shared" si="8"/>
        <v/>
      </c>
      <c r="AJ18" s="35" t="str">
        <f t="shared" si="9"/>
        <v>No</v>
      </c>
      <c r="AK18" s="35" t="str">
        <f>IFERROR(__xludf.DUMMYFUNCTION("IFERROR(query(query(Data!A:BS,CONCATENATE(""select Col70, count(Col69) where Col1 = '"",C18,""' group by Col70"")), CONCATENATE(""select Col1 where Col2 = "",query(query(query(Data!A:BS,CONCATENATE(""select Col70, count(Col69) where Col1 = '"",C18,""' and"&amp;" Col70 &lt;&gt; 'Other' and Col70 is not null group by Col70"")),""select max(Col2)"",0),""Select *"",0),"" limit 1""),0))"),"")</f>
        <v/>
      </c>
      <c r="AL18" s="35" t="str">
        <f t="shared" si="10"/>
        <v/>
      </c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>
      <c r="A19" s="25">
        <v>110.0</v>
      </c>
      <c r="B19" s="26" t="s">
        <v>107</v>
      </c>
      <c r="C19" s="27" t="s">
        <v>108</v>
      </c>
      <c r="D19" s="28" t="s">
        <v>109</v>
      </c>
      <c r="E19" s="28" t="s">
        <v>52</v>
      </c>
      <c r="F19" s="28" t="s">
        <v>52</v>
      </c>
      <c r="G19" s="28" t="s">
        <v>110</v>
      </c>
      <c r="H19" s="29">
        <v>2.0617759025306035</v>
      </c>
      <c r="I19" s="30">
        <v>0.0</v>
      </c>
      <c r="J19" s="30">
        <v>4.195009931765105</v>
      </c>
      <c r="K19" s="30">
        <v>1.9188596491228067</v>
      </c>
      <c r="L19" s="31">
        <v>0.2604285714285714</v>
      </c>
      <c r="M19" s="31">
        <v>2.1763333333333335</v>
      </c>
      <c r="N19" s="31">
        <v>5.921333333333333</v>
      </c>
      <c r="O19" s="32" t="s">
        <v>49</v>
      </c>
      <c r="P19" s="32" t="s">
        <v>76</v>
      </c>
      <c r="Q19" s="32" t="s">
        <v>49</v>
      </c>
      <c r="R19" s="33" t="str">
        <f t="shared" si="1"/>
        <v>cap</v>
      </c>
      <c r="S19" s="34" t="str">
        <f>IFERROR(__xludf.DUMMYFUNCTION("IF(query(Data!A:M,CONCATENATE(""select Col13 where Col1 = '"",C19,""' and Col8 = 'Bias and Unfair Discrimination'""),0)&gt;70,1,0)"),"#REF!")</f>
        <v>#REF!</v>
      </c>
      <c r="T19" s="34" t="str">
        <f>IFERROR(__xludf.DUMMYFUNCTION("IF(query(Data!A:M,CONCATENATE(""select Col13 where Col1 = '"",C19,""' and Col8 = 'Childrens Rights'""),0)&gt;70,1,0)"),"#REF!")</f>
        <v>#REF!</v>
      </c>
      <c r="U19" s="34" t="str">
        <f>IFERROR(__xludf.DUMMYFUNCTION("IF(query(Data!A:M,CONCATENATE(""select Col13 where Col1 = '"",C19,""' and Col8 = 'Cultural and Linguistic Diversity'""),0)&gt;70,1,0)"),"#REF!")</f>
        <v>#REF!</v>
      </c>
      <c r="V19" s="34" t="str">
        <f>IFERROR(__xludf.DUMMYFUNCTION("IF(query(Data!A:M,CONCATENATE(""select Col13 where Col1 = '"",C19,""' and Col8 = 'Data Protection and Privacy'""),0)&gt;70,1,0)"),"#REF!")</f>
        <v>#REF!</v>
      </c>
      <c r="W19" s="34" t="str">
        <f>IFERROR(__xludf.DUMMYFUNCTION("IF(query(Data!A:M,CONCATENATE(""select Col13 where Col1 = '"",C19,""' and Col8 = 'Gender Equality'""),0)&gt;70,1,0)"),"#REF!")</f>
        <v>#REF!</v>
      </c>
      <c r="X19" s="34" t="str">
        <f>IFERROR(__xludf.DUMMYFUNCTION("IF(query(Data!A:M,CONCATENATE(""select Col13 where Col1 = '"",C19,""' and Col8 = 'Human Oversight and Determination'""),0)&gt;70,1,0)"),"#REF!")</f>
        <v>#REF!</v>
      </c>
      <c r="Y19" s="34" t="str">
        <f>IFERROR(__xludf.DUMMYFUNCTION("IF(query(Data!A:M,CONCATENATE(""select Col13 where Col1 = '"",C19,""' and Col8 = 'Labour Protection and Right to Work'""),0)&gt;70,1,0)"),"#REF!")</f>
        <v>#REF!</v>
      </c>
      <c r="Z19" s="34" t="str">
        <f>IFERROR(__xludf.DUMMYFUNCTION("IF(query(Data!A:M,CONCATENATE(""select Col13 where Col1 = '"",C19,""' and Col8 = 'Safety, Accuracy and Reliability'""),0)&gt;70,1,0)"),"#REF!")</f>
        <v>#REF!</v>
      </c>
      <c r="AA19" s="34" t="str">
        <f>IFERROR(__xludf.DUMMYFUNCTION("IF(query(Data!A:M,CONCATENATE(""select Col13 where Col1 = '"",C19,""' and Col8 = 'Transparency and Explainability'""),0)&gt;70,1,0)"),"#REF!")</f>
        <v>#REF!</v>
      </c>
      <c r="AB19" s="35">
        <f t="shared" si="2"/>
        <v>0</v>
      </c>
      <c r="AC19" s="35">
        <f t="shared" si="3"/>
        <v>0</v>
      </c>
      <c r="AD19" s="35">
        <f t="shared" si="4"/>
        <v>0</v>
      </c>
      <c r="AE19" s="35">
        <f t="shared" si="5"/>
        <v>0</v>
      </c>
      <c r="AF19" s="35">
        <f t="shared" si="6"/>
        <v>0</v>
      </c>
      <c r="AG19" s="35" t="str">
        <f t="shared" si="7"/>
        <v>No</v>
      </c>
      <c r="AH19" s="35" t="str">
        <f>IFERROR(__xludf.DUMMYFUNCTION("IFERROR(query(query(Data!A:BS,CONCATENATE(""select Col50, count(Col49) where Col1 = '"",C19,""' group by Col50"")), CONCATENATE(""select Col1 where Col2 = "",query(query(query(Data!A:BS,CONCATENATE(""select Col50, count(Col49) where Col1 = '"",C19,""' and"&amp;" Col50 &lt;&gt; 'Other' and Col50 is not null group by Col50"")),""select max(Col2)"",0),""Select *"",0),"" limit 1""),0))"),"")</f>
        <v/>
      </c>
      <c r="AI19" s="35" t="str">
        <f t="shared" si="8"/>
        <v/>
      </c>
      <c r="AJ19" s="35" t="str">
        <f t="shared" si="9"/>
        <v>No</v>
      </c>
      <c r="AK19" s="35" t="str">
        <f>IFERROR(__xludf.DUMMYFUNCTION("IFERROR(query(query(Data!A:BS,CONCATENATE(""select Col70, count(Col69) where Col1 = '"",C19,""' group by Col70"")), CONCATENATE(""select Col1 where Col2 = "",query(query(query(Data!A:BS,CONCATENATE(""select Col70, count(Col69) where Col1 = '"",C19,""' and"&amp;" Col70 &lt;&gt; 'Other' and Col70 is not null group by Col70"")),""select max(Col2)"",0),""Select *"",0),"" limit 1""),0))"),"")</f>
        <v/>
      </c>
      <c r="AL19" s="35" t="str">
        <f t="shared" si="10"/>
        <v/>
      </c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>
      <c r="A20" s="25">
        <v>117.0</v>
      </c>
      <c r="B20" s="26" t="s">
        <v>111</v>
      </c>
      <c r="C20" s="27" t="s">
        <v>112</v>
      </c>
      <c r="D20" s="28" t="s">
        <v>113</v>
      </c>
      <c r="E20" s="28" t="s">
        <v>79</v>
      </c>
      <c r="F20" s="28" t="s">
        <v>64</v>
      </c>
      <c r="G20" s="28" t="s">
        <v>65</v>
      </c>
      <c r="H20" s="29">
        <v>1.4487752358955248</v>
      </c>
      <c r="I20" s="30">
        <v>0.0</v>
      </c>
      <c r="J20" s="30">
        <v>2.114262651142321</v>
      </c>
      <c r="K20" s="30">
        <v>3.015350877192982</v>
      </c>
      <c r="L20" s="31">
        <v>1.6368571428571428</v>
      </c>
      <c r="M20" s="31">
        <v>0.0</v>
      </c>
      <c r="N20" s="31">
        <v>5.356000000000001</v>
      </c>
      <c r="O20" s="32" t="s">
        <v>49</v>
      </c>
      <c r="P20" s="32" t="s">
        <v>76</v>
      </c>
      <c r="Q20" s="32" t="s">
        <v>59</v>
      </c>
      <c r="R20" s="33" t="str">
        <f t="shared" si="1"/>
        <v>cap</v>
      </c>
      <c r="S20" s="34" t="str">
        <f>IFERROR(__xludf.DUMMYFUNCTION("IF(query(Data!A:M,CONCATENATE(""select Col13 where Col1 = '"",C20,""' and Col8 = 'Bias and Unfair Discrimination'""),0)&gt;70,1,0)"),"#REF!")</f>
        <v>#REF!</v>
      </c>
      <c r="T20" s="34" t="str">
        <f>IFERROR(__xludf.DUMMYFUNCTION("IF(query(Data!A:M,CONCATENATE(""select Col13 where Col1 = '"",C20,""' and Col8 = 'Childrens Rights'""),0)&gt;70,1,0)"),"#REF!")</f>
        <v>#REF!</v>
      </c>
      <c r="U20" s="34" t="str">
        <f>IFERROR(__xludf.DUMMYFUNCTION("IF(query(Data!A:M,CONCATENATE(""select Col13 where Col1 = '"",C20,""' and Col8 = 'Cultural and Linguistic Diversity'""),0)&gt;70,1,0)"),"#REF!")</f>
        <v>#REF!</v>
      </c>
      <c r="V20" s="34" t="str">
        <f>IFERROR(__xludf.DUMMYFUNCTION("IF(query(Data!A:M,CONCATENATE(""select Col13 where Col1 = '"",C20,""' and Col8 = 'Data Protection and Privacy'""),0)&gt;70,1,0)"),"#REF!")</f>
        <v>#REF!</v>
      </c>
      <c r="W20" s="34" t="str">
        <f>IFERROR(__xludf.DUMMYFUNCTION("IF(query(Data!A:M,CONCATENATE(""select Col13 where Col1 = '"",C20,""' and Col8 = 'Gender Equality'""),0)&gt;70,1,0)"),"#REF!")</f>
        <v>#REF!</v>
      </c>
      <c r="X20" s="34" t="str">
        <f>IFERROR(__xludf.DUMMYFUNCTION("IF(query(Data!A:M,CONCATENATE(""select Col13 where Col1 = '"",C20,""' and Col8 = 'Human Oversight and Determination'""),0)&gt;70,1,0)"),"#REF!")</f>
        <v>#REF!</v>
      </c>
      <c r="Y20" s="34" t="str">
        <f>IFERROR(__xludf.DUMMYFUNCTION("IF(query(Data!A:M,CONCATENATE(""select Col13 where Col1 = '"",C20,""' and Col8 = 'Labour Protection and Right to Work'""),0)&gt;70,1,0)"),"#REF!")</f>
        <v>#REF!</v>
      </c>
      <c r="Z20" s="34" t="str">
        <f>IFERROR(__xludf.DUMMYFUNCTION("IF(query(Data!A:M,CONCATENATE(""select Col13 where Col1 = '"",C20,""' and Col8 = 'Safety, Accuracy and Reliability'""),0)&gt;70,1,0)"),"#REF!")</f>
        <v>#REF!</v>
      </c>
      <c r="AA20" s="34" t="str">
        <f>IFERROR(__xludf.DUMMYFUNCTION("IF(query(Data!A:M,CONCATENATE(""select Col13 where Col1 = '"",C20,""' and Col8 = 'Transparency and Explainability'""),0)&gt;70,1,0)"),"#REF!")</f>
        <v>#REF!</v>
      </c>
      <c r="AB20" s="35">
        <f t="shared" si="2"/>
        <v>0</v>
      </c>
      <c r="AC20" s="35">
        <f t="shared" si="3"/>
        <v>0</v>
      </c>
      <c r="AD20" s="35">
        <f t="shared" si="4"/>
        <v>0</v>
      </c>
      <c r="AE20" s="35">
        <f t="shared" si="5"/>
        <v>0</v>
      </c>
      <c r="AF20" s="35">
        <f t="shared" si="6"/>
        <v>0</v>
      </c>
      <c r="AG20" s="35" t="str">
        <f t="shared" si="7"/>
        <v>No</v>
      </c>
      <c r="AH20" s="35" t="str">
        <f>IFERROR(__xludf.DUMMYFUNCTION("IFERROR(query(query(Data!A:BS,CONCATENATE(""select Col50, count(Col49) where Col1 = '"",C20,""' group by Col50"")), CONCATENATE(""select Col1 where Col2 = "",query(query(query(Data!A:BS,CONCATENATE(""select Col50, count(Col49) where Col1 = '"",C20,""' and"&amp;" Col50 &lt;&gt; 'Other' and Col50 is not null group by Col50"")),""select max(Col2)"",0),""Select *"",0),"" limit 1""),0))"),"")</f>
        <v/>
      </c>
      <c r="AI20" s="35" t="str">
        <f t="shared" si="8"/>
        <v/>
      </c>
      <c r="AJ20" s="35" t="str">
        <f t="shared" si="9"/>
        <v>No</v>
      </c>
      <c r="AK20" s="35" t="str">
        <f>IFERROR(__xludf.DUMMYFUNCTION("IFERROR(query(query(Data!A:BS,CONCATENATE(""select Col70, count(Col69) where Col1 = '"",C20,""' group by Col70"")), CONCATENATE(""select Col1 where Col2 = "",query(query(query(Data!A:BS,CONCATENATE(""select Col70, count(Col69) where Col1 = '"",C20,""' and"&amp;" Col70 &lt;&gt; 'Other' and Col70 is not null group by Col70"")),""select max(Col2)"",0),""Select *"",0),"" limit 1""),0))"),"")</f>
        <v/>
      </c>
      <c r="AL20" s="35" t="str">
        <f t="shared" si="10"/>
        <v/>
      </c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>
      <c r="A21" s="25">
        <v>105.0</v>
      </c>
      <c r="B21" s="26" t="s">
        <v>114</v>
      </c>
      <c r="C21" s="27" t="s">
        <v>115</v>
      </c>
      <c r="D21" s="28" t="s">
        <v>116</v>
      </c>
      <c r="E21" s="28" t="s">
        <v>74</v>
      </c>
      <c r="F21" s="28" t="s">
        <v>74</v>
      </c>
      <c r="G21" s="28" t="s">
        <v>106</v>
      </c>
      <c r="H21" s="29">
        <v>2.3706554151836197</v>
      </c>
      <c r="I21" s="30">
        <v>0.0</v>
      </c>
      <c r="J21" s="30">
        <v>3.7062438011169436</v>
      </c>
      <c r="K21" s="30">
        <v>4.44078947368421</v>
      </c>
      <c r="L21" s="31">
        <v>0.0</v>
      </c>
      <c r="M21" s="31">
        <v>1.875</v>
      </c>
      <c r="N21" s="31">
        <v>9.389000000000001</v>
      </c>
      <c r="O21" s="32" t="s">
        <v>54</v>
      </c>
      <c r="P21" s="32" t="s">
        <v>54</v>
      </c>
      <c r="Q21" s="32" t="s">
        <v>54</v>
      </c>
      <c r="R21" s="33" t="str">
        <f t="shared" si="1"/>
        <v>cap</v>
      </c>
      <c r="S21" s="34" t="str">
        <f>IFERROR(__xludf.DUMMYFUNCTION("IF(query(Data!A:M,CONCATENATE(""select Col13 where Col1 = '"",C21,""' and Col8 = 'Bias and Unfair Discrimination'""),0)&gt;70,1,0)"),"#REF!")</f>
        <v>#REF!</v>
      </c>
      <c r="T21" s="34" t="str">
        <f>IFERROR(__xludf.DUMMYFUNCTION("IF(query(Data!A:M,CONCATENATE(""select Col13 where Col1 = '"",C21,""' and Col8 = 'Childrens Rights'""),0)&gt;70,1,0)"),"#REF!")</f>
        <v>#REF!</v>
      </c>
      <c r="U21" s="34" t="str">
        <f>IFERROR(__xludf.DUMMYFUNCTION("IF(query(Data!A:M,CONCATENATE(""select Col13 where Col1 = '"",C21,""' and Col8 = 'Cultural and Linguistic Diversity'""),0)&gt;70,1,0)"),"#REF!")</f>
        <v>#REF!</v>
      </c>
      <c r="V21" s="34" t="str">
        <f>IFERROR(__xludf.DUMMYFUNCTION("IF(query(Data!A:M,CONCATENATE(""select Col13 where Col1 = '"",C21,""' and Col8 = 'Data Protection and Privacy'""),0)&gt;70,1,0)"),"#REF!")</f>
        <v>#REF!</v>
      </c>
      <c r="W21" s="34" t="str">
        <f>IFERROR(__xludf.DUMMYFUNCTION("IF(query(Data!A:M,CONCATENATE(""select Col13 where Col1 = '"",C21,""' and Col8 = 'Gender Equality'""),0)&gt;70,1,0)"),"#REF!")</f>
        <v>#REF!</v>
      </c>
      <c r="X21" s="34" t="str">
        <f>IFERROR(__xludf.DUMMYFUNCTION("IF(query(Data!A:M,CONCATENATE(""select Col13 where Col1 = '"",C21,""' and Col8 = 'Human Oversight and Determination'""),0)&gt;70,1,0)"),"#REF!")</f>
        <v>#REF!</v>
      </c>
      <c r="Y21" s="34" t="str">
        <f>IFERROR(__xludf.DUMMYFUNCTION("IF(query(Data!A:M,CONCATENATE(""select Col13 where Col1 = '"",C21,""' and Col8 = 'Labour Protection and Right to Work'""),0)&gt;70,1,0)"),"#REF!")</f>
        <v>#REF!</v>
      </c>
      <c r="Z21" s="34" t="str">
        <f>IFERROR(__xludf.DUMMYFUNCTION("IF(query(Data!A:M,CONCATENATE(""select Col13 where Col1 = '"",C21,""' and Col8 = 'Safety, Accuracy and Reliability'""),0)&gt;70,1,0)"),"#REF!")</f>
        <v>#REF!</v>
      </c>
      <c r="AA21" s="34" t="str">
        <f>IFERROR(__xludf.DUMMYFUNCTION("IF(query(Data!A:M,CONCATENATE(""select Col13 where Col1 = '"",C21,""' and Col8 = 'Transparency and Explainability'""),0)&gt;70,1,0)"),"#REF!")</f>
        <v>#REF!</v>
      </c>
      <c r="AB21" s="35">
        <f t="shared" si="2"/>
        <v>0</v>
      </c>
      <c r="AC21" s="35">
        <f t="shared" si="3"/>
        <v>0</v>
      </c>
      <c r="AD21" s="35">
        <f t="shared" si="4"/>
        <v>0</v>
      </c>
      <c r="AE21" s="35">
        <f t="shared" si="5"/>
        <v>0</v>
      </c>
      <c r="AF21" s="35">
        <f t="shared" si="6"/>
        <v>0</v>
      </c>
      <c r="AG21" s="35" t="str">
        <f t="shared" si="7"/>
        <v>No</v>
      </c>
      <c r="AH21" s="35" t="str">
        <f>IFERROR(__xludf.DUMMYFUNCTION("IFERROR(query(query(Data!A:BS,CONCATENATE(""select Col50, count(Col49) where Col1 = '"",C21,""' group by Col50"")), CONCATENATE(""select Col1 where Col2 = "",query(query(query(Data!A:BS,CONCATENATE(""select Col50, count(Col49) where Col1 = '"",C21,""' and"&amp;" Col50 &lt;&gt; 'Other' and Col50 is not null group by Col50"")),""select max(Col2)"",0),""Select *"",0),"" limit 1""),0))"),"")</f>
        <v/>
      </c>
      <c r="AI21" s="35" t="str">
        <f t="shared" si="8"/>
        <v/>
      </c>
      <c r="AJ21" s="35" t="str">
        <f t="shared" si="9"/>
        <v>No</v>
      </c>
      <c r="AK21" s="35" t="str">
        <f>IFERROR(__xludf.DUMMYFUNCTION("IFERROR(query(query(Data!A:BS,CONCATENATE(""select Col70, count(Col69) where Col1 = '"",C21,""' group by Col70"")), CONCATENATE(""select Col1 where Col2 = "",query(query(query(Data!A:BS,CONCATENATE(""select Col70, count(Col69) where Col1 = '"",C21,""' and"&amp;" Col70 &lt;&gt; 'Other' and Col70 is not null group by Col70"")),""select max(Col2)"",0),""Select *"",0),"" limit 1""),0))"),"")</f>
        <v/>
      </c>
      <c r="AL21" s="35" t="str">
        <f t="shared" si="10"/>
        <v/>
      </c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>
      <c r="A22" s="25">
        <v>18.0</v>
      </c>
      <c r="B22" s="26" t="s">
        <v>117</v>
      </c>
      <c r="C22" s="27" t="s">
        <v>118</v>
      </c>
      <c r="D22" s="28" t="s">
        <v>119</v>
      </c>
      <c r="E22" s="28" t="s">
        <v>79</v>
      </c>
      <c r="F22" s="28" t="s">
        <v>64</v>
      </c>
      <c r="G22" s="28" t="s">
        <v>65</v>
      </c>
      <c r="H22" s="29">
        <v>44.421341812401494</v>
      </c>
      <c r="I22" s="30">
        <v>44.55892024123877</v>
      </c>
      <c r="J22" s="30">
        <v>40.8639518336246</v>
      </c>
      <c r="K22" s="30">
        <v>51.260964912280706</v>
      </c>
      <c r="L22" s="31">
        <v>44.85228571428571</v>
      </c>
      <c r="M22" s="31">
        <v>46.90244444444445</v>
      </c>
      <c r="N22" s="31">
        <v>35.972</v>
      </c>
      <c r="O22" s="32" t="s">
        <v>80</v>
      </c>
      <c r="P22" s="32" t="s">
        <v>76</v>
      </c>
      <c r="Q22" s="32" t="s">
        <v>59</v>
      </c>
      <c r="R22" s="33" t="str">
        <f t="shared" si="1"/>
        <v>gob</v>
      </c>
      <c r="S22" s="34" t="str">
        <f>IFERROR(__xludf.DUMMYFUNCTION("IF(query(Data!A:M,CONCATENATE(""select Col13 where Col1 = '"",C22,""' and Col8 = 'Bias and Unfair Discrimination'""),0)&gt;70,1,0)"),"#REF!")</f>
        <v>#REF!</v>
      </c>
      <c r="T22" s="34" t="str">
        <f>IFERROR(__xludf.DUMMYFUNCTION("IF(query(Data!A:M,CONCATENATE(""select Col13 where Col1 = '"",C22,""' and Col8 = 'Childrens Rights'""),0)&gt;70,1,0)"),"#REF!")</f>
        <v>#REF!</v>
      </c>
      <c r="U22" s="34" t="str">
        <f>IFERROR(__xludf.DUMMYFUNCTION("IF(query(Data!A:M,CONCATENATE(""select Col13 where Col1 = '"",C22,""' and Col8 = 'Cultural and Linguistic Diversity'""),0)&gt;70,1,0)"),"#REF!")</f>
        <v>#REF!</v>
      </c>
      <c r="V22" s="34" t="str">
        <f>IFERROR(__xludf.DUMMYFUNCTION("IF(query(Data!A:M,CONCATENATE(""select Col13 where Col1 = '"",C22,""' and Col8 = 'Data Protection and Privacy'""),0)&gt;70,1,0)"),"#REF!")</f>
        <v>#REF!</v>
      </c>
      <c r="W22" s="34" t="str">
        <f>IFERROR(__xludf.DUMMYFUNCTION("IF(query(Data!A:M,CONCATENATE(""select Col13 where Col1 = '"",C22,""' and Col8 = 'Gender Equality'""),0)&gt;70,1,0)"),"#REF!")</f>
        <v>#REF!</v>
      </c>
      <c r="X22" s="34" t="str">
        <f>IFERROR(__xludf.DUMMYFUNCTION("IF(query(Data!A:M,CONCATENATE(""select Col13 where Col1 = '"",C22,""' and Col8 = 'Human Oversight and Determination'""),0)&gt;70,1,0)"),"#REF!")</f>
        <v>#REF!</v>
      </c>
      <c r="Y22" s="34" t="str">
        <f>IFERROR(__xludf.DUMMYFUNCTION("IF(query(Data!A:M,CONCATENATE(""select Col13 where Col1 = '"",C22,""' and Col8 = 'Labour Protection and Right to Work'""),0)&gt;70,1,0)"),"#REF!")</f>
        <v>#REF!</v>
      </c>
      <c r="Z22" s="34" t="str">
        <f>IFERROR(__xludf.DUMMYFUNCTION("IF(query(Data!A:M,CONCATENATE(""select Col13 where Col1 = '"",C22,""' and Col8 = 'Safety, Accuracy and Reliability'""),0)&gt;70,1,0)"),"#REF!")</f>
        <v>#REF!</v>
      </c>
      <c r="AA22" s="34" t="str">
        <f>IFERROR(__xludf.DUMMYFUNCTION("IF(query(Data!A:M,CONCATENATE(""select Col13 where Col1 = '"",C22,""' and Col8 = 'Transparency and Explainability'""),0)&gt;70,1,0)"),"#REF!")</f>
        <v>#REF!</v>
      </c>
      <c r="AB22" s="35">
        <f t="shared" si="2"/>
        <v>0</v>
      </c>
      <c r="AC22" s="35">
        <f t="shared" si="3"/>
        <v>0</v>
      </c>
      <c r="AD22" s="35">
        <f t="shared" si="4"/>
        <v>0</v>
      </c>
      <c r="AE22" s="35">
        <f t="shared" si="5"/>
        <v>0</v>
      </c>
      <c r="AF22" s="35">
        <f t="shared" si="6"/>
        <v>0</v>
      </c>
      <c r="AG22" s="35" t="str">
        <f t="shared" si="7"/>
        <v>No</v>
      </c>
      <c r="AH22" s="35" t="str">
        <f>IFERROR(__xludf.DUMMYFUNCTION("IFERROR(query(query(Data!A:BS,CONCATENATE(""select Col50, count(Col49) where Col1 = '"",C22,""' group by Col50"")), CONCATENATE(""select Col1 where Col2 = "",query(query(query(Data!A:BS,CONCATENATE(""select Col50, count(Col49) where Col1 = '"",C22,""' and"&amp;" Col50 &lt;&gt; 'Other' and Col50 is not null group by Col50"")),""select max(Col2)"",0),""Select *"",0),"" limit 1""),0))"),"")</f>
        <v/>
      </c>
      <c r="AI22" s="35" t="str">
        <f t="shared" si="8"/>
        <v/>
      </c>
      <c r="AJ22" s="35" t="str">
        <f t="shared" si="9"/>
        <v>No</v>
      </c>
      <c r="AK22" s="35" t="str">
        <f>IFERROR(__xludf.DUMMYFUNCTION("IFERROR(query(query(Data!A:BS,CONCATENATE(""select Col70, count(Col69) where Col1 = '"",C22,""' group by Col70"")), CONCATENATE(""select Col1 where Col2 = "",query(query(query(Data!A:BS,CONCATENATE(""select Col70, count(Col69) where Col1 = '"",C22,""' and"&amp;" Col70 &lt;&gt; 'Other' and Col70 is not null group by Col70"")),""select max(Col2)"",0),""Select *"",0),"" limit 1""),0))"),"")</f>
        <v/>
      </c>
      <c r="AL22" s="35" t="str">
        <f t="shared" si="10"/>
        <v/>
      </c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>
      <c r="A23" s="25">
        <v>39.0</v>
      </c>
      <c r="B23" s="26" t="s">
        <v>120</v>
      </c>
      <c r="C23" s="27" t="s">
        <v>121</v>
      </c>
      <c r="D23" s="28" t="s">
        <v>121</v>
      </c>
      <c r="E23" s="28" t="s">
        <v>52</v>
      </c>
      <c r="F23" s="28" t="s">
        <v>52</v>
      </c>
      <c r="G23" s="28" t="s">
        <v>110</v>
      </c>
      <c r="H23" s="29">
        <v>29.0891882565147</v>
      </c>
      <c r="I23" s="30">
        <v>33.95812650312457</v>
      </c>
      <c r="J23" s="30">
        <v>11.969339752197266</v>
      </c>
      <c r="K23" s="30">
        <v>53.59100877192983</v>
      </c>
      <c r="L23" s="31">
        <v>26.083571428571428</v>
      </c>
      <c r="M23" s="31">
        <v>36.73311111111111</v>
      </c>
      <c r="N23" s="31">
        <v>13.171333333333335</v>
      </c>
      <c r="O23" s="32" t="s">
        <v>54</v>
      </c>
      <c r="P23" s="32" t="s">
        <v>80</v>
      </c>
      <c r="Q23" s="32" t="s">
        <v>59</v>
      </c>
      <c r="R23" s="33" t="str">
        <f t="shared" si="1"/>
        <v>gob</v>
      </c>
      <c r="S23" s="34" t="str">
        <f>IFERROR(__xludf.DUMMYFUNCTION("IF(query(Data!A:M,CONCATENATE(""select Col13 where Col1 = '"",C23,""' and Col8 = 'Bias and Unfair Discrimination'""),0)&gt;70,1,0)"),"#REF!")</f>
        <v>#REF!</v>
      </c>
      <c r="T23" s="34" t="str">
        <f>IFERROR(__xludf.DUMMYFUNCTION("IF(query(Data!A:M,CONCATENATE(""select Col13 where Col1 = '"",C23,""' and Col8 = 'Childrens Rights'""),0)&gt;70,1,0)"),"#REF!")</f>
        <v>#REF!</v>
      </c>
      <c r="U23" s="34" t="str">
        <f>IFERROR(__xludf.DUMMYFUNCTION("IF(query(Data!A:M,CONCATENATE(""select Col13 where Col1 = '"",C23,""' and Col8 = 'Cultural and Linguistic Diversity'""),0)&gt;70,1,0)"),"#REF!")</f>
        <v>#REF!</v>
      </c>
      <c r="V23" s="34" t="str">
        <f>IFERROR(__xludf.DUMMYFUNCTION("IF(query(Data!A:M,CONCATENATE(""select Col13 where Col1 = '"",C23,""' and Col8 = 'Data Protection and Privacy'""),0)&gt;70,1,0)"),"#REF!")</f>
        <v>#REF!</v>
      </c>
      <c r="W23" s="34" t="str">
        <f>IFERROR(__xludf.DUMMYFUNCTION("IF(query(Data!A:M,CONCATENATE(""select Col13 where Col1 = '"",C23,""' and Col8 = 'Gender Equality'""),0)&gt;70,1,0)"),"#REF!")</f>
        <v>#REF!</v>
      </c>
      <c r="X23" s="34" t="str">
        <f>IFERROR(__xludf.DUMMYFUNCTION("IF(query(Data!A:M,CONCATENATE(""select Col13 where Col1 = '"",C23,""' and Col8 = 'Human Oversight and Determination'""),0)&gt;70,1,0)"),"#REF!")</f>
        <v>#REF!</v>
      </c>
      <c r="Y23" s="34" t="str">
        <f>IFERROR(__xludf.DUMMYFUNCTION("IF(query(Data!A:M,CONCATENATE(""select Col13 where Col1 = '"",C23,""' and Col8 = 'Labour Protection and Right to Work'""),0)&gt;70,1,0)"),"#REF!")</f>
        <v>#REF!</v>
      </c>
      <c r="Z23" s="34" t="str">
        <f>IFERROR(__xludf.DUMMYFUNCTION("IF(query(Data!A:M,CONCATENATE(""select Col13 where Col1 = '"",C23,""' and Col8 = 'Safety, Accuracy and Reliability'""),0)&gt;70,1,0)"),"#REF!")</f>
        <v>#REF!</v>
      </c>
      <c r="AA23" s="34" t="str">
        <f>IFERROR(__xludf.DUMMYFUNCTION("IF(query(Data!A:M,CONCATENATE(""select Col13 where Col1 = '"",C23,""' and Col8 = 'Transparency and Explainability'""),0)&gt;70,1,0)"),"#REF!")</f>
        <v>#REF!</v>
      </c>
      <c r="AB23" s="35">
        <f t="shared" si="2"/>
        <v>0</v>
      </c>
      <c r="AC23" s="35">
        <f t="shared" si="3"/>
        <v>0</v>
      </c>
      <c r="AD23" s="35">
        <f t="shared" si="4"/>
        <v>0</v>
      </c>
      <c r="AE23" s="35">
        <f t="shared" si="5"/>
        <v>0</v>
      </c>
      <c r="AF23" s="35">
        <f t="shared" si="6"/>
        <v>0</v>
      </c>
      <c r="AG23" s="35" t="str">
        <f t="shared" si="7"/>
        <v>No</v>
      </c>
      <c r="AH23" s="35" t="str">
        <f>IFERROR(__xludf.DUMMYFUNCTION("IFERROR(query(query(Data!A:BS,CONCATENATE(""select Col50, count(Col49) where Col1 = '"",C23,""' group by Col50"")), CONCATENATE(""select Col1 where Col2 = "",query(query(query(Data!A:BS,CONCATENATE(""select Col50, count(Col49) where Col1 = '"",C23,""' and"&amp;" Col50 &lt;&gt; 'Other' and Col50 is not null group by Col50"")),""select max(Col2)"",0),""Select *"",0),"" limit 1""),0))"),"")</f>
        <v/>
      </c>
      <c r="AI23" s="35" t="str">
        <f t="shared" si="8"/>
        <v/>
      </c>
      <c r="AJ23" s="35" t="str">
        <f t="shared" si="9"/>
        <v>No</v>
      </c>
      <c r="AK23" s="35" t="str">
        <f>IFERROR(__xludf.DUMMYFUNCTION("IFERROR(query(query(Data!A:BS,CONCATENATE(""select Col70, count(Col69) where Col1 = '"",C23,""' group by Col70"")), CONCATENATE(""select Col1 where Col2 = "",query(query(query(Data!A:BS,CONCATENATE(""select Col70, count(Col69) where Col1 = '"",C23,""' and"&amp;" Col70 &lt;&gt; 'Other' and Col70 is not null group by Col70"")),""select max(Col2)"",0),""Select *"",0),"" limit 1""),0))"),"")</f>
        <v/>
      </c>
      <c r="AL23" s="35" t="str">
        <f t="shared" si="10"/>
        <v/>
      </c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>
      <c r="A24" s="25">
        <v>107.0</v>
      </c>
      <c r="B24" s="26" t="s">
        <v>122</v>
      </c>
      <c r="C24" s="27" t="s">
        <v>123</v>
      </c>
      <c r="D24" s="28" t="s">
        <v>123</v>
      </c>
      <c r="E24" s="28" t="s">
        <v>74</v>
      </c>
      <c r="F24" s="28" t="s">
        <v>74</v>
      </c>
      <c r="G24" s="28" t="s">
        <v>106</v>
      </c>
      <c r="H24" s="29">
        <v>2.236811085249249</v>
      </c>
      <c r="I24" s="30">
        <v>2.5539970648916146</v>
      </c>
      <c r="J24" s="30">
        <v>2.48293196402098</v>
      </c>
      <c r="K24" s="30">
        <v>1.1101973684210524</v>
      </c>
      <c r="L24" s="31">
        <v>3.375571428571429</v>
      </c>
      <c r="M24" s="31">
        <v>0.0</v>
      </c>
      <c r="N24" s="31">
        <v>6.29</v>
      </c>
      <c r="O24" s="32" t="s">
        <v>76</v>
      </c>
      <c r="P24" s="32" t="s">
        <v>80</v>
      </c>
      <c r="Q24" s="32" t="s">
        <v>54</v>
      </c>
      <c r="R24" s="33" t="str">
        <f t="shared" si="1"/>
        <v>cap</v>
      </c>
      <c r="S24" s="34" t="str">
        <f>IFERROR(__xludf.DUMMYFUNCTION("IF(query(Data!A:M,CONCATENATE(""select Col13 where Col1 = '"",C24,""' and Col8 = 'Bias and Unfair Discrimination'""),0)&gt;70,1,0)"),"#REF!")</f>
        <v>#REF!</v>
      </c>
      <c r="T24" s="34" t="str">
        <f>IFERROR(__xludf.DUMMYFUNCTION("IF(query(Data!A:M,CONCATENATE(""select Col13 where Col1 = '"",C24,""' and Col8 = 'Childrens Rights'""),0)&gt;70,1,0)"),"#REF!")</f>
        <v>#REF!</v>
      </c>
      <c r="U24" s="34" t="str">
        <f>IFERROR(__xludf.DUMMYFUNCTION("IF(query(Data!A:M,CONCATENATE(""select Col13 where Col1 = '"",C24,""' and Col8 = 'Cultural and Linguistic Diversity'""),0)&gt;70,1,0)"),"#REF!")</f>
        <v>#REF!</v>
      </c>
      <c r="V24" s="34" t="str">
        <f>IFERROR(__xludf.DUMMYFUNCTION("IF(query(Data!A:M,CONCATENATE(""select Col13 where Col1 = '"",C24,""' and Col8 = 'Data Protection and Privacy'""),0)&gt;70,1,0)"),"#REF!")</f>
        <v>#REF!</v>
      </c>
      <c r="W24" s="34" t="str">
        <f>IFERROR(__xludf.DUMMYFUNCTION("IF(query(Data!A:M,CONCATENATE(""select Col13 where Col1 = '"",C24,""' and Col8 = 'Gender Equality'""),0)&gt;70,1,0)"),"#REF!")</f>
        <v>#REF!</v>
      </c>
      <c r="X24" s="34" t="str">
        <f>IFERROR(__xludf.DUMMYFUNCTION("IF(query(Data!A:M,CONCATENATE(""select Col13 where Col1 = '"",C24,""' and Col8 = 'Human Oversight and Determination'""),0)&gt;70,1,0)"),"#REF!")</f>
        <v>#REF!</v>
      </c>
      <c r="Y24" s="34" t="str">
        <f>IFERROR(__xludf.DUMMYFUNCTION("IF(query(Data!A:M,CONCATENATE(""select Col13 where Col1 = '"",C24,""' and Col8 = 'Labour Protection and Right to Work'""),0)&gt;70,1,0)"),"#REF!")</f>
        <v>#REF!</v>
      </c>
      <c r="Z24" s="34" t="str">
        <f>IFERROR(__xludf.DUMMYFUNCTION("IF(query(Data!A:M,CONCATENATE(""select Col13 where Col1 = '"",C24,""' and Col8 = 'Safety, Accuracy and Reliability'""),0)&gt;70,1,0)"),"#REF!")</f>
        <v>#REF!</v>
      </c>
      <c r="AA24" s="34" t="str">
        <f>IFERROR(__xludf.DUMMYFUNCTION("IF(query(Data!A:M,CONCATENATE(""select Col13 where Col1 = '"",C24,""' and Col8 = 'Transparency and Explainability'""),0)&gt;70,1,0)"),"#REF!")</f>
        <v>#REF!</v>
      </c>
      <c r="AB24" s="35">
        <f t="shared" si="2"/>
        <v>0</v>
      </c>
      <c r="AC24" s="35">
        <f t="shared" si="3"/>
        <v>0</v>
      </c>
      <c r="AD24" s="35">
        <f t="shared" si="4"/>
        <v>0</v>
      </c>
      <c r="AE24" s="35">
        <f t="shared" si="5"/>
        <v>0</v>
      </c>
      <c r="AF24" s="35">
        <f t="shared" si="6"/>
        <v>0</v>
      </c>
      <c r="AG24" s="35" t="str">
        <f t="shared" si="7"/>
        <v>No</v>
      </c>
      <c r="AH24" s="35" t="str">
        <f>IFERROR(__xludf.DUMMYFUNCTION("IFERROR(query(query(Data!A:BS,CONCATENATE(""select Col50, count(Col49) where Col1 = '"",C24,""' group by Col50"")), CONCATENATE(""select Col1 where Col2 = "",query(query(query(Data!A:BS,CONCATENATE(""select Col50, count(Col49) where Col1 = '"",C24,""' and"&amp;" Col50 &lt;&gt; 'Other' and Col50 is not null group by Col50"")),""select max(Col2)"",0),""Select *"",0),"" limit 1""),0))"),"")</f>
        <v/>
      </c>
      <c r="AI24" s="35" t="str">
        <f t="shared" si="8"/>
        <v/>
      </c>
      <c r="AJ24" s="35" t="str">
        <f t="shared" si="9"/>
        <v>No</v>
      </c>
      <c r="AK24" s="35" t="str">
        <f>IFERROR(__xludf.DUMMYFUNCTION("IFERROR(query(query(Data!A:BS,CONCATENATE(""select Col70, count(Col69) where Col1 = '"",C24,""' group by Col70"")), CONCATENATE(""select Col1 where Col2 = "",query(query(query(Data!A:BS,CONCATENATE(""select Col70, count(Col69) where Col1 = '"",C24,""' and"&amp;" Col70 &lt;&gt; 'Other' and Col70 is not null group by Col70"")),""select max(Col2)"",0),""Select *"",0),"" limit 1""),0))"),"")</f>
        <v/>
      </c>
      <c r="AL24" s="35" t="str">
        <f t="shared" si="10"/>
        <v/>
      </c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>
      <c r="A25" s="25">
        <v>130.0</v>
      </c>
      <c r="B25" s="26" t="s">
        <v>124</v>
      </c>
      <c r="C25" s="27" t="s">
        <v>125</v>
      </c>
      <c r="D25" s="28" t="s">
        <v>125</v>
      </c>
      <c r="E25" s="28" t="s">
        <v>74</v>
      </c>
      <c r="F25" s="28" t="s">
        <v>74</v>
      </c>
      <c r="G25" s="28" t="s">
        <v>106</v>
      </c>
      <c r="H25" s="29">
        <v>0.7091608742663734</v>
      </c>
      <c r="I25" s="30">
        <v>0.0</v>
      </c>
      <c r="J25" s="30">
        <v>1.443954817244881</v>
      </c>
      <c r="K25" s="30">
        <v>0.6578947368421052</v>
      </c>
      <c r="L25" s="31">
        <v>0.0</v>
      </c>
      <c r="M25" s="31">
        <v>0.0</v>
      </c>
      <c r="N25" s="31">
        <v>4.491333333333333</v>
      </c>
      <c r="O25" s="32" t="s">
        <v>49</v>
      </c>
      <c r="P25" s="32" t="s">
        <v>49</v>
      </c>
      <c r="Q25" s="32" t="s">
        <v>49</v>
      </c>
      <c r="R25" s="33" t="str">
        <f t="shared" si="1"/>
        <v>cap</v>
      </c>
      <c r="S25" s="34" t="str">
        <f>IFERROR(__xludf.DUMMYFUNCTION("IF(query(Data!A:M,CONCATENATE(""select Col13 where Col1 = '"",C25,""' and Col8 = 'Bias and Unfair Discrimination'""),0)&gt;70,1,0)"),"#REF!")</f>
        <v>#REF!</v>
      </c>
      <c r="T25" s="34" t="str">
        <f>IFERROR(__xludf.DUMMYFUNCTION("IF(query(Data!A:M,CONCATENATE(""select Col13 where Col1 = '"",C25,""' and Col8 = 'Childrens Rights'""),0)&gt;70,1,0)"),"#REF!")</f>
        <v>#REF!</v>
      </c>
      <c r="U25" s="34" t="str">
        <f>IFERROR(__xludf.DUMMYFUNCTION("IF(query(Data!A:M,CONCATENATE(""select Col13 where Col1 = '"",C25,""' and Col8 = 'Cultural and Linguistic Diversity'""),0)&gt;70,1,0)"),"#REF!")</f>
        <v>#REF!</v>
      </c>
      <c r="V25" s="34" t="str">
        <f>IFERROR(__xludf.DUMMYFUNCTION("IF(query(Data!A:M,CONCATENATE(""select Col13 where Col1 = '"",C25,""' and Col8 = 'Data Protection and Privacy'""),0)&gt;70,1,0)"),"#REF!")</f>
        <v>#REF!</v>
      </c>
      <c r="W25" s="34" t="str">
        <f>IFERROR(__xludf.DUMMYFUNCTION("IF(query(Data!A:M,CONCATENATE(""select Col13 where Col1 = '"",C25,""' and Col8 = 'Gender Equality'""),0)&gt;70,1,0)"),"#REF!")</f>
        <v>#REF!</v>
      </c>
      <c r="X25" s="34" t="str">
        <f>IFERROR(__xludf.DUMMYFUNCTION("IF(query(Data!A:M,CONCATENATE(""select Col13 where Col1 = '"",C25,""' and Col8 = 'Human Oversight and Determination'""),0)&gt;70,1,0)"),"#REF!")</f>
        <v>#REF!</v>
      </c>
      <c r="Y25" s="34" t="str">
        <f>IFERROR(__xludf.DUMMYFUNCTION("IF(query(Data!A:M,CONCATENATE(""select Col13 where Col1 = '"",C25,""' and Col8 = 'Labour Protection and Right to Work'""),0)&gt;70,1,0)"),"#REF!")</f>
        <v>#REF!</v>
      </c>
      <c r="Z25" s="34" t="str">
        <f>IFERROR(__xludf.DUMMYFUNCTION("IF(query(Data!A:M,CONCATENATE(""select Col13 where Col1 = '"",C25,""' and Col8 = 'Safety, Accuracy and Reliability'""),0)&gt;70,1,0)"),"#REF!")</f>
        <v>#REF!</v>
      </c>
      <c r="AA25" s="34" t="str">
        <f>IFERROR(__xludf.DUMMYFUNCTION("IF(query(Data!A:M,CONCATENATE(""select Col13 where Col1 = '"",C25,""' and Col8 = 'Transparency and Explainability'""),0)&gt;70,1,0)"),"#REF!")</f>
        <v>#REF!</v>
      </c>
      <c r="AB25" s="35">
        <f t="shared" si="2"/>
        <v>0</v>
      </c>
      <c r="AC25" s="35">
        <f t="shared" si="3"/>
        <v>0</v>
      </c>
      <c r="AD25" s="35">
        <f t="shared" si="4"/>
        <v>0</v>
      </c>
      <c r="AE25" s="35">
        <f t="shared" si="5"/>
        <v>0</v>
      </c>
      <c r="AF25" s="35">
        <f t="shared" si="6"/>
        <v>0</v>
      </c>
      <c r="AG25" s="35" t="str">
        <f t="shared" si="7"/>
        <v>No</v>
      </c>
      <c r="AH25" s="35" t="str">
        <f>IFERROR(__xludf.DUMMYFUNCTION("IFERROR(query(query(Data!A:BS,CONCATENATE(""select Col50, count(Col49) where Col1 = '"",C25,""' group by Col50"")), CONCATENATE(""select Col1 where Col2 = "",query(query(query(Data!A:BS,CONCATENATE(""select Col50, count(Col49) where Col1 = '"",C25,""' and"&amp;" Col50 &lt;&gt; 'Other' and Col50 is not null group by Col50"")),""select max(Col2)"",0),""Select *"",0),"" limit 1""),0))"),"")</f>
        <v/>
      </c>
      <c r="AI25" s="35" t="str">
        <f t="shared" si="8"/>
        <v/>
      </c>
      <c r="AJ25" s="35" t="str">
        <f t="shared" si="9"/>
        <v>No</v>
      </c>
      <c r="AK25" s="35" t="str">
        <f>IFERROR(__xludf.DUMMYFUNCTION("IFERROR(query(query(Data!A:BS,CONCATENATE(""select Col70, count(Col69) where Col1 = '"",C25,""' group by Col70"")), CONCATENATE(""select Col1 where Col2 = "",query(query(query(Data!A:BS,CONCATENATE(""select Col70, count(Col69) where Col1 = '"",C25,""' and"&amp;" Col70 &lt;&gt; 'Other' and Col70 is not null group by Col70"")),""select max(Col2)"",0),""Select *"",0),"" limit 1""),0))"),"")</f>
        <v/>
      </c>
      <c r="AL25" s="35" t="str">
        <f t="shared" si="10"/>
        <v/>
      </c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>
      <c r="A26" s="25">
        <v>113.0</v>
      </c>
      <c r="B26" s="26" t="s">
        <v>126</v>
      </c>
      <c r="C26" s="27" t="s">
        <v>127</v>
      </c>
      <c r="D26" s="28" t="s">
        <v>128</v>
      </c>
      <c r="E26" s="28" t="s">
        <v>46</v>
      </c>
      <c r="F26" s="28" t="s">
        <v>47</v>
      </c>
      <c r="G26" s="28" t="s">
        <v>48</v>
      </c>
      <c r="H26" s="29">
        <v>1.8346366708320485</v>
      </c>
      <c r="I26" s="30">
        <v>0.0</v>
      </c>
      <c r="J26" s="30">
        <v>4.024639922694156</v>
      </c>
      <c r="K26" s="30">
        <v>1.1239035087719298</v>
      </c>
      <c r="L26" s="31">
        <v>0.6101428571428571</v>
      </c>
      <c r="M26" s="31">
        <v>0.0</v>
      </c>
      <c r="N26" s="31">
        <v>10.195666666666666</v>
      </c>
      <c r="O26" s="32" t="s">
        <v>54</v>
      </c>
      <c r="P26" s="32" t="s">
        <v>54</v>
      </c>
      <c r="Q26" s="32" t="s">
        <v>54</v>
      </c>
      <c r="R26" s="33" t="str">
        <f t="shared" si="1"/>
        <v>cap</v>
      </c>
      <c r="S26" s="34" t="str">
        <f>IFERROR(__xludf.DUMMYFUNCTION("IF(query(Data!A:M,CONCATENATE(""select Col13 where Col1 = '"",C26,""' and Col8 = 'Bias and Unfair Discrimination'""),0)&gt;70,1,0)"),"#REF!")</f>
        <v>#REF!</v>
      </c>
      <c r="T26" s="34" t="str">
        <f>IFERROR(__xludf.DUMMYFUNCTION("IF(query(Data!A:M,CONCATENATE(""select Col13 where Col1 = '"",C26,""' and Col8 = 'Childrens Rights'""),0)&gt;70,1,0)"),"#REF!")</f>
        <v>#REF!</v>
      </c>
      <c r="U26" s="34" t="str">
        <f>IFERROR(__xludf.DUMMYFUNCTION("IF(query(Data!A:M,CONCATENATE(""select Col13 where Col1 = '"",C26,""' and Col8 = 'Cultural and Linguistic Diversity'""),0)&gt;70,1,0)"),"#REF!")</f>
        <v>#REF!</v>
      </c>
      <c r="V26" s="34" t="str">
        <f>IFERROR(__xludf.DUMMYFUNCTION("IF(query(Data!A:M,CONCATENATE(""select Col13 where Col1 = '"",C26,""' and Col8 = 'Data Protection and Privacy'""),0)&gt;70,1,0)"),"#REF!")</f>
        <v>#REF!</v>
      </c>
      <c r="W26" s="34" t="str">
        <f>IFERROR(__xludf.DUMMYFUNCTION("IF(query(Data!A:M,CONCATENATE(""select Col13 where Col1 = '"",C26,""' and Col8 = 'Gender Equality'""),0)&gt;70,1,0)"),"#REF!")</f>
        <v>#REF!</v>
      </c>
      <c r="X26" s="34" t="str">
        <f>IFERROR(__xludf.DUMMYFUNCTION("IF(query(Data!A:M,CONCATENATE(""select Col13 where Col1 = '"",C26,""' and Col8 = 'Human Oversight and Determination'""),0)&gt;70,1,0)"),"#REF!")</f>
        <v>#REF!</v>
      </c>
      <c r="Y26" s="34" t="str">
        <f>IFERROR(__xludf.DUMMYFUNCTION("IF(query(Data!A:M,CONCATENATE(""select Col13 where Col1 = '"",C26,""' and Col8 = 'Labour Protection and Right to Work'""),0)&gt;70,1,0)"),"#REF!")</f>
        <v>#REF!</v>
      </c>
      <c r="Z26" s="34" t="str">
        <f>IFERROR(__xludf.DUMMYFUNCTION("IF(query(Data!A:M,CONCATENATE(""select Col13 where Col1 = '"",C26,""' and Col8 = 'Safety, Accuracy and Reliability'""),0)&gt;70,1,0)"),"#REF!")</f>
        <v>#REF!</v>
      </c>
      <c r="AA26" s="34" t="str">
        <f>IFERROR(__xludf.DUMMYFUNCTION("IF(query(Data!A:M,CONCATENATE(""select Col13 where Col1 = '"",C26,""' and Col8 = 'Transparency and Explainability'""),0)&gt;70,1,0)"),"#REF!")</f>
        <v>#REF!</v>
      </c>
      <c r="AB26" s="35">
        <f t="shared" si="2"/>
        <v>0</v>
      </c>
      <c r="AC26" s="35">
        <f t="shared" si="3"/>
        <v>0</v>
      </c>
      <c r="AD26" s="35">
        <f t="shared" si="4"/>
        <v>0</v>
      </c>
      <c r="AE26" s="35">
        <f t="shared" si="5"/>
        <v>0</v>
      </c>
      <c r="AF26" s="35">
        <f t="shared" si="6"/>
        <v>0</v>
      </c>
      <c r="AG26" s="35" t="str">
        <f t="shared" si="7"/>
        <v>No</v>
      </c>
      <c r="AH26" s="35" t="str">
        <f>IFERROR(__xludf.DUMMYFUNCTION("IFERROR(query(query(Data!A:BS,CONCATENATE(""select Col50, count(Col49) where Col1 = '"",C26,""' group by Col50"")), CONCATENATE(""select Col1 where Col2 = "",query(query(query(Data!A:BS,CONCATENATE(""select Col50, count(Col49) where Col1 = '"",C26,""' and"&amp;" Col50 &lt;&gt; 'Other' and Col50 is not null group by Col50"")),""select max(Col2)"",0),""Select *"",0),"" limit 1""),0))"),"")</f>
        <v/>
      </c>
      <c r="AI26" s="35" t="str">
        <f t="shared" si="8"/>
        <v/>
      </c>
      <c r="AJ26" s="35" t="str">
        <f t="shared" si="9"/>
        <v>No</v>
      </c>
      <c r="AK26" s="35" t="str">
        <f>IFERROR(__xludf.DUMMYFUNCTION("IFERROR(query(query(Data!A:BS,CONCATENATE(""select Col70, count(Col69) where Col1 = '"",C26,""' group by Col70"")), CONCATENATE(""select Col1 where Col2 = "",query(query(query(Data!A:BS,CONCATENATE(""select Col70, count(Col69) where Col1 = '"",C26,""' and"&amp;" Col70 &lt;&gt; 'Other' and Col70 is not null group by Col70"")),""select max(Col2)"",0),""Select *"",0),"" limit 1""),0))"),"")</f>
        <v/>
      </c>
      <c r="AL26" s="35" t="str">
        <f t="shared" si="10"/>
        <v/>
      </c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>
      <c r="A27" s="25">
        <v>71.0</v>
      </c>
      <c r="B27" s="26" t="s">
        <v>129</v>
      </c>
      <c r="C27" s="27" t="s">
        <v>130</v>
      </c>
      <c r="D27" s="28" t="s">
        <v>131</v>
      </c>
      <c r="E27" s="28" t="s">
        <v>46</v>
      </c>
      <c r="F27" s="28" t="s">
        <v>47</v>
      </c>
      <c r="G27" s="28" t="s">
        <v>132</v>
      </c>
      <c r="H27" s="29">
        <v>11.25701349258423</v>
      </c>
      <c r="I27" s="30">
        <v>8.912611760591206</v>
      </c>
      <c r="J27" s="30">
        <v>16.557224602448315</v>
      </c>
      <c r="K27" s="30">
        <v>5.345394736842104</v>
      </c>
      <c r="L27" s="31">
        <v>14.148285714285716</v>
      </c>
      <c r="M27" s="31">
        <v>7.108</v>
      </c>
      <c r="N27" s="31">
        <v>16.957666666666668</v>
      </c>
      <c r="O27" s="32" t="s">
        <v>76</v>
      </c>
      <c r="P27" s="32" t="s">
        <v>76</v>
      </c>
      <c r="Q27" s="32" t="s">
        <v>80</v>
      </c>
      <c r="R27" s="33" t="str">
        <f t="shared" si="1"/>
        <v>cap</v>
      </c>
      <c r="S27" s="34" t="str">
        <f>IFERROR(__xludf.DUMMYFUNCTION("IF(query(Data!A:M,CONCATENATE(""select Col13 where Col1 = '"",C27,""' and Col8 = 'Bias and Unfair Discrimination'""),0)&gt;70,1,0)"),"#REF!")</f>
        <v>#REF!</v>
      </c>
      <c r="T27" s="34" t="str">
        <f>IFERROR(__xludf.DUMMYFUNCTION("IF(query(Data!A:M,CONCATENATE(""select Col13 where Col1 = '"",C27,""' and Col8 = 'Childrens Rights'""),0)&gt;70,1,0)"),"#REF!")</f>
        <v>#REF!</v>
      </c>
      <c r="U27" s="34" t="str">
        <f>IFERROR(__xludf.DUMMYFUNCTION("IF(query(Data!A:M,CONCATENATE(""select Col13 where Col1 = '"",C27,""' and Col8 = 'Cultural and Linguistic Diversity'""),0)&gt;70,1,0)"),"#REF!")</f>
        <v>#REF!</v>
      </c>
      <c r="V27" s="34" t="str">
        <f>IFERROR(__xludf.DUMMYFUNCTION("IF(query(Data!A:M,CONCATENATE(""select Col13 where Col1 = '"",C27,""' and Col8 = 'Data Protection and Privacy'""),0)&gt;70,1,0)"),"#REF!")</f>
        <v>#REF!</v>
      </c>
      <c r="W27" s="34" t="str">
        <f>IFERROR(__xludf.DUMMYFUNCTION("IF(query(Data!A:M,CONCATENATE(""select Col13 where Col1 = '"",C27,""' and Col8 = 'Gender Equality'""),0)&gt;70,1,0)"),"#REF!")</f>
        <v>#REF!</v>
      </c>
      <c r="X27" s="34" t="str">
        <f>IFERROR(__xludf.DUMMYFUNCTION("IF(query(Data!A:M,CONCATENATE(""select Col13 where Col1 = '"",C27,""' and Col8 = 'Human Oversight and Determination'""),0)&gt;70,1,0)"),"#REF!")</f>
        <v>#REF!</v>
      </c>
      <c r="Y27" s="34" t="str">
        <f>IFERROR(__xludf.DUMMYFUNCTION("IF(query(Data!A:M,CONCATENATE(""select Col13 where Col1 = '"",C27,""' and Col8 = 'Labour Protection and Right to Work'""),0)&gt;70,1,0)"),"#REF!")</f>
        <v>#REF!</v>
      </c>
      <c r="Z27" s="34" t="str">
        <f>IFERROR(__xludf.DUMMYFUNCTION("IF(query(Data!A:M,CONCATENATE(""select Col13 where Col1 = '"",C27,""' and Col8 = 'Safety, Accuracy and Reliability'""),0)&gt;70,1,0)"),"#REF!")</f>
        <v>#REF!</v>
      </c>
      <c r="AA27" s="34" t="str">
        <f>IFERROR(__xludf.DUMMYFUNCTION("IF(query(Data!A:M,CONCATENATE(""select Col13 where Col1 = '"",C27,""' and Col8 = 'Transparency and Explainability'""),0)&gt;70,1,0)"),"#REF!")</f>
        <v>#REF!</v>
      </c>
      <c r="AB27" s="35">
        <f t="shared" si="2"/>
        <v>0</v>
      </c>
      <c r="AC27" s="35">
        <f t="shared" si="3"/>
        <v>0</v>
      </c>
      <c r="AD27" s="35">
        <f t="shared" si="4"/>
        <v>0</v>
      </c>
      <c r="AE27" s="35">
        <f t="shared" si="5"/>
        <v>0</v>
      </c>
      <c r="AF27" s="35">
        <f t="shared" si="6"/>
        <v>0</v>
      </c>
      <c r="AG27" s="35" t="str">
        <f t="shared" si="7"/>
        <v>No</v>
      </c>
      <c r="AH27" s="35" t="str">
        <f>IFERROR(__xludf.DUMMYFUNCTION("IFERROR(query(query(Data!A:BS,CONCATENATE(""select Col50, count(Col49) where Col1 = '"",C27,""' group by Col50"")), CONCATENATE(""select Col1 where Col2 = "",query(query(query(Data!A:BS,CONCATENATE(""select Col50, count(Col49) where Col1 = '"",C27,""' and"&amp;" Col50 &lt;&gt; 'Other' and Col50 is not null group by Col50"")),""select max(Col2)"",0),""Select *"",0),"" limit 1""),0))"),"")</f>
        <v/>
      </c>
      <c r="AI27" s="35" t="str">
        <f t="shared" si="8"/>
        <v/>
      </c>
      <c r="AJ27" s="35" t="str">
        <f t="shared" si="9"/>
        <v>No</v>
      </c>
      <c r="AK27" s="35" t="str">
        <f>IFERROR(__xludf.DUMMYFUNCTION("IFERROR(query(query(Data!A:BS,CONCATENATE(""select Col70, count(Col69) where Col1 = '"",C27,""' group by Col70"")), CONCATENATE(""select Col1 where Col2 = "",query(query(query(Data!A:BS,CONCATENATE(""select Col70, count(Col69) where Col1 = '"",C27,""' and"&amp;" Col70 &lt;&gt; 'Other' and Col70 is not null group by Col70"")),""select max(Col2)"",0),""Select *"",0),"" limit 1""),0))"),"")</f>
        <v/>
      </c>
      <c r="AL27" s="35" t="str">
        <f t="shared" si="10"/>
        <v/>
      </c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>
      <c r="A28" s="25">
        <v>97.0</v>
      </c>
      <c r="B28" s="26" t="s">
        <v>133</v>
      </c>
      <c r="C28" s="27" t="s">
        <v>134</v>
      </c>
      <c r="D28" s="28" t="s">
        <v>135</v>
      </c>
      <c r="E28" s="28" t="s">
        <v>74</v>
      </c>
      <c r="F28" s="28" t="s">
        <v>74</v>
      </c>
      <c r="G28" s="28" t="s">
        <v>106</v>
      </c>
      <c r="H28" s="29">
        <v>4.035791111661677</v>
      </c>
      <c r="I28" s="30">
        <v>0.0</v>
      </c>
      <c r="J28" s="30">
        <v>5.4568023405577</v>
      </c>
      <c r="K28" s="30">
        <v>9.265350877192981</v>
      </c>
      <c r="L28" s="31">
        <v>5.598142857142856</v>
      </c>
      <c r="M28" s="31">
        <v>2.6847777777777773</v>
      </c>
      <c r="N28" s="31">
        <v>4.443333333333333</v>
      </c>
      <c r="O28" s="32" t="s">
        <v>49</v>
      </c>
      <c r="P28" s="32" t="s">
        <v>49</v>
      </c>
      <c r="Q28" s="32" t="s">
        <v>76</v>
      </c>
      <c r="R28" s="33" t="str">
        <f t="shared" si="1"/>
        <v>ddhh</v>
      </c>
      <c r="S28" s="34" t="str">
        <f>IFERROR(__xludf.DUMMYFUNCTION("IF(query(Data!A:M,CONCATENATE(""select Col13 where Col1 = '"",C28,""' and Col8 = 'Bias and Unfair Discrimination'""),0)&gt;70,1,0)"),"#REF!")</f>
        <v>#REF!</v>
      </c>
      <c r="T28" s="34" t="str">
        <f>IFERROR(__xludf.DUMMYFUNCTION("IF(query(Data!A:M,CONCATENATE(""select Col13 where Col1 = '"",C28,""' and Col8 = 'Childrens Rights'""),0)&gt;70,1,0)"),"#REF!")</f>
        <v>#REF!</v>
      </c>
      <c r="U28" s="34" t="str">
        <f>IFERROR(__xludf.DUMMYFUNCTION("IF(query(Data!A:M,CONCATENATE(""select Col13 where Col1 = '"",C28,""' and Col8 = 'Cultural and Linguistic Diversity'""),0)&gt;70,1,0)"),"#REF!")</f>
        <v>#REF!</v>
      </c>
      <c r="V28" s="34" t="str">
        <f>IFERROR(__xludf.DUMMYFUNCTION("IF(query(Data!A:M,CONCATENATE(""select Col13 where Col1 = '"",C28,""' and Col8 = 'Data Protection and Privacy'""),0)&gt;70,1,0)"),"#REF!")</f>
        <v>#REF!</v>
      </c>
      <c r="W28" s="34" t="str">
        <f>IFERROR(__xludf.DUMMYFUNCTION("IF(query(Data!A:M,CONCATENATE(""select Col13 where Col1 = '"",C28,""' and Col8 = 'Gender Equality'""),0)&gt;70,1,0)"),"#REF!")</f>
        <v>#REF!</v>
      </c>
      <c r="X28" s="34" t="str">
        <f>IFERROR(__xludf.DUMMYFUNCTION("IF(query(Data!A:M,CONCATENATE(""select Col13 where Col1 = '"",C28,""' and Col8 = 'Human Oversight and Determination'""),0)&gt;70,1,0)"),"#REF!")</f>
        <v>#REF!</v>
      </c>
      <c r="Y28" s="34" t="str">
        <f>IFERROR(__xludf.DUMMYFUNCTION("IF(query(Data!A:M,CONCATENATE(""select Col13 where Col1 = '"",C28,""' and Col8 = 'Labour Protection and Right to Work'""),0)&gt;70,1,0)"),"#REF!")</f>
        <v>#REF!</v>
      </c>
      <c r="Z28" s="34" t="str">
        <f>IFERROR(__xludf.DUMMYFUNCTION("IF(query(Data!A:M,CONCATENATE(""select Col13 where Col1 = '"",C28,""' and Col8 = 'Safety, Accuracy and Reliability'""),0)&gt;70,1,0)"),"#REF!")</f>
        <v>#REF!</v>
      </c>
      <c r="AA28" s="34" t="str">
        <f>IFERROR(__xludf.DUMMYFUNCTION("IF(query(Data!A:M,CONCATENATE(""select Col13 where Col1 = '"",C28,""' and Col8 = 'Transparency and Explainability'""),0)&gt;70,1,0)"),"#REF!")</f>
        <v>#REF!</v>
      </c>
      <c r="AB28" s="35">
        <f t="shared" si="2"/>
        <v>0</v>
      </c>
      <c r="AC28" s="35">
        <f t="shared" si="3"/>
        <v>0</v>
      </c>
      <c r="AD28" s="35">
        <f t="shared" si="4"/>
        <v>0</v>
      </c>
      <c r="AE28" s="35">
        <f t="shared" si="5"/>
        <v>0</v>
      </c>
      <c r="AF28" s="35">
        <f t="shared" si="6"/>
        <v>0</v>
      </c>
      <c r="AG28" s="35" t="str">
        <f t="shared" si="7"/>
        <v>No</v>
      </c>
      <c r="AH28" s="35" t="str">
        <f>IFERROR(__xludf.DUMMYFUNCTION("IFERROR(query(query(Data!A:BS,CONCATENATE(""select Col50, count(Col49) where Col1 = '"",C28,""' group by Col50"")), CONCATENATE(""select Col1 where Col2 = "",query(query(query(Data!A:BS,CONCATENATE(""select Col50, count(Col49) where Col1 = '"",C28,""' and"&amp;" Col50 &lt;&gt; 'Other' and Col50 is not null group by Col50"")),""select max(Col2)"",0),""Select *"",0),"" limit 1""),0))"),"")</f>
        <v/>
      </c>
      <c r="AI28" s="35" t="str">
        <f t="shared" si="8"/>
        <v/>
      </c>
      <c r="AJ28" s="35" t="str">
        <f t="shared" si="9"/>
        <v>No</v>
      </c>
      <c r="AK28" s="35" t="str">
        <f>IFERROR(__xludf.DUMMYFUNCTION("IFERROR(query(query(Data!A:BS,CONCATENATE(""select Col70, count(Col69) where Col1 = '"",C28,""' group by Col70"")), CONCATENATE(""select Col1 where Col2 = "",query(query(query(Data!A:BS,CONCATENATE(""select Col70, count(Col69) where Col1 = '"",C28,""' and"&amp;" Col70 &lt;&gt; 'Other' and Col70 is not null group by Col70"")),""select max(Col2)"",0),""Select *"",0),"" limit 1""),0))"),"")</f>
        <v/>
      </c>
      <c r="AL28" s="35" t="str">
        <f t="shared" si="10"/>
        <v/>
      </c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>
      <c r="A29" s="25">
        <v>9.0</v>
      </c>
      <c r="B29" s="26" t="s">
        <v>136</v>
      </c>
      <c r="C29" s="27" t="s">
        <v>137</v>
      </c>
      <c r="D29" s="28" t="s">
        <v>138</v>
      </c>
      <c r="E29" s="28" t="s">
        <v>139</v>
      </c>
      <c r="F29" s="28" t="s">
        <v>64</v>
      </c>
      <c r="G29" s="28" t="s">
        <v>139</v>
      </c>
      <c r="H29" s="29">
        <v>57.392016084236005</v>
      </c>
      <c r="I29" s="30">
        <v>37.79791455519827</v>
      </c>
      <c r="J29" s="30">
        <v>80.83974626942683</v>
      </c>
      <c r="K29" s="30">
        <v>49.68475877192982</v>
      </c>
      <c r="L29" s="31">
        <v>55.36828571428571</v>
      </c>
      <c r="M29" s="31">
        <v>59.07555555555555</v>
      </c>
      <c r="N29" s="31">
        <v>57.064</v>
      </c>
      <c r="O29" s="32" t="s">
        <v>59</v>
      </c>
      <c r="P29" s="32" t="s">
        <v>59</v>
      </c>
      <c r="Q29" s="32" t="s">
        <v>59</v>
      </c>
      <c r="R29" s="33" t="str">
        <f t="shared" si="1"/>
        <v>gob</v>
      </c>
      <c r="S29" s="34" t="str">
        <f>IFERROR(__xludf.DUMMYFUNCTION("IF(query(Data!A:M,CONCATENATE(""select Col13 where Col1 = '"",C29,""' and Col8 = 'Bias and Unfair Discrimination'""),0)&gt;70,1,0)"),"#REF!")</f>
        <v>#REF!</v>
      </c>
      <c r="T29" s="34" t="str">
        <f>IFERROR(__xludf.DUMMYFUNCTION("IF(query(Data!A:M,CONCATENATE(""select Col13 where Col1 = '"",C29,""' and Col8 = 'Childrens Rights'""),0)&gt;70,1,0)"),"#REF!")</f>
        <v>#REF!</v>
      </c>
      <c r="U29" s="34" t="str">
        <f>IFERROR(__xludf.DUMMYFUNCTION("IF(query(Data!A:M,CONCATENATE(""select Col13 where Col1 = '"",C29,""' and Col8 = 'Cultural and Linguistic Diversity'""),0)&gt;70,1,0)"),"#REF!")</f>
        <v>#REF!</v>
      </c>
      <c r="V29" s="34" t="str">
        <f>IFERROR(__xludf.DUMMYFUNCTION("IF(query(Data!A:M,CONCATENATE(""select Col13 where Col1 = '"",C29,""' and Col8 = 'Data Protection and Privacy'""),0)&gt;70,1,0)"),"#REF!")</f>
        <v>#REF!</v>
      </c>
      <c r="W29" s="34" t="str">
        <f>IFERROR(__xludf.DUMMYFUNCTION("IF(query(Data!A:M,CONCATENATE(""select Col13 where Col1 = '"",C29,""' and Col8 = 'Gender Equality'""),0)&gt;70,1,0)"),"#REF!")</f>
        <v>#REF!</v>
      </c>
      <c r="X29" s="34" t="str">
        <f>IFERROR(__xludf.DUMMYFUNCTION("IF(query(Data!A:M,CONCATENATE(""select Col13 where Col1 = '"",C29,""' and Col8 = 'Human Oversight and Determination'""),0)&gt;70,1,0)"),"#REF!")</f>
        <v>#REF!</v>
      </c>
      <c r="Y29" s="34" t="str">
        <f>IFERROR(__xludf.DUMMYFUNCTION("IF(query(Data!A:M,CONCATENATE(""select Col13 where Col1 = '"",C29,""' and Col8 = 'Labour Protection and Right to Work'""),0)&gt;70,1,0)"),"#REF!")</f>
        <v>#REF!</v>
      </c>
      <c r="Z29" s="34" t="str">
        <f>IFERROR(__xludf.DUMMYFUNCTION("IF(query(Data!A:M,CONCATENATE(""select Col13 where Col1 = '"",C29,""' and Col8 = 'Safety, Accuracy and Reliability'""),0)&gt;70,1,0)"),"#REF!")</f>
        <v>#REF!</v>
      </c>
      <c r="AA29" s="34" t="str">
        <f>IFERROR(__xludf.DUMMYFUNCTION("IF(query(Data!A:M,CONCATENATE(""select Col13 where Col1 = '"",C29,""' and Col8 = 'Transparency and Explainability'""),0)&gt;70,1,0)"),"#REF!")</f>
        <v>#REF!</v>
      </c>
      <c r="AB29" s="35">
        <f t="shared" si="2"/>
        <v>0</v>
      </c>
      <c r="AC29" s="35">
        <f t="shared" si="3"/>
        <v>0</v>
      </c>
      <c r="AD29" s="35">
        <f t="shared" si="4"/>
        <v>0</v>
      </c>
      <c r="AE29" s="35">
        <f t="shared" si="5"/>
        <v>0</v>
      </c>
      <c r="AF29" s="35">
        <f t="shared" si="6"/>
        <v>0</v>
      </c>
      <c r="AG29" s="35" t="str">
        <f t="shared" si="7"/>
        <v>No</v>
      </c>
      <c r="AH29" s="35" t="str">
        <f>IFERROR(__xludf.DUMMYFUNCTION("IFERROR(query(query(Data!A:BS,CONCATENATE(""select Col50, count(Col49) where Col1 = '"",C29,""' group by Col50"")), CONCATENATE(""select Col1 where Col2 = "",query(query(query(Data!A:BS,CONCATENATE(""select Col50, count(Col49) where Col1 = '"",C29,""' and"&amp;" Col50 &lt;&gt; 'Other' and Col50 is not null group by Col50"")),""select max(Col2)"",0),""Select *"",0),"" limit 1""),0))"),"")</f>
        <v/>
      </c>
      <c r="AI29" s="35" t="str">
        <f t="shared" si="8"/>
        <v/>
      </c>
      <c r="AJ29" s="35" t="str">
        <f t="shared" si="9"/>
        <v>No</v>
      </c>
      <c r="AK29" s="35" t="str">
        <f>IFERROR(__xludf.DUMMYFUNCTION("IFERROR(query(query(Data!A:BS,CONCATENATE(""select Col70, count(Col69) where Col1 = '"",C29,""' group by Col70"")), CONCATENATE(""select Col1 where Col2 = "",query(query(query(Data!A:BS,CONCATENATE(""select Col70, count(Col69) where Col1 = '"",C29,""' and"&amp;" Col70 &lt;&gt; 'Other' and Col70 is not null group by Col70"")),""select max(Col2)"",0),""Select *"",0),"" limit 1""),0))"),"")</f>
        <v/>
      </c>
      <c r="AL29" s="35" t="str">
        <f t="shared" si="10"/>
        <v/>
      </c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>
      <c r="A30" s="25">
        <v>37.0</v>
      </c>
      <c r="B30" s="26" t="s">
        <v>140</v>
      </c>
      <c r="C30" s="27" t="s">
        <v>141</v>
      </c>
      <c r="D30" s="28" t="s">
        <v>142</v>
      </c>
      <c r="E30" s="28" t="s">
        <v>69</v>
      </c>
      <c r="F30" s="28" t="s">
        <v>47</v>
      </c>
      <c r="G30" s="28" t="s">
        <v>70</v>
      </c>
      <c r="H30" s="29">
        <v>29.838629983600818</v>
      </c>
      <c r="I30" s="30">
        <v>27.908805211385086</v>
      </c>
      <c r="J30" s="30">
        <v>38.32702413358187</v>
      </c>
      <c r="K30" s="30">
        <v>16.721491228070178</v>
      </c>
      <c r="L30" s="31">
        <v>42.663428571428575</v>
      </c>
      <c r="M30" s="31">
        <v>17.442333333333334</v>
      </c>
      <c r="N30" s="31">
        <v>37.10333333333333</v>
      </c>
      <c r="O30" s="32" t="s">
        <v>54</v>
      </c>
      <c r="P30" s="32" t="s">
        <v>59</v>
      </c>
      <c r="Q30" s="32" t="s">
        <v>76</v>
      </c>
      <c r="R30" s="33" t="str">
        <f t="shared" si="1"/>
        <v>ddhh</v>
      </c>
      <c r="S30" s="34" t="str">
        <f>IFERROR(__xludf.DUMMYFUNCTION("IF(query(Data!A:M,CONCATENATE(""select Col13 where Col1 = '"",C30,""' and Col8 = 'Bias and Unfair Discrimination'""),0)&gt;70,1,0)"),"#REF!")</f>
        <v>#REF!</v>
      </c>
      <c r="T30" s="34" t="str">
        <f>IFERROR(__xludf.DUMMYFUNCTION("IF(query(Data!A:M,CONCATENATE(""select Col13 where Col1 = '"",C30,""' and Col8 = 'Childrens Rights'""),0)&gt;70,1,0)"),"#REF!")</f>
        <v>#REF!</v>
      </c>
      <c r="U30" s="34" t="str">
        <f>IFERROR(__xludf.DUMMYFUNCTION("IF(query(Data!A:M,CONCATENATE(""select Col13 where Col1 = '"",C30,""' and Col8 = 'Cultural and Linguistic Diversity'""),0)&gt;70,1,0)"),"#REF!")</f>
        <v>#REF!</v>
      </c>
      <c r="V30" s="34" t="str">
        <f>IFERROR(__xludf.DUMMYFUNCTION("IF(query(Data!A:M,CONCATENATE(""select Col13 where Col1 = '"",C30,""' and Col8 = 'Data Protection and Privacy'""),0)&gt;70,1,0)"),"#REF!")</f>
        <v>#REF!</v>
      </c>
      <c r="W30" s="34" t="str">
        <f>IFERROR(__xludf.DUMMYFUNCTION("IF(query(Data!A:M,CONCATENATE(""select Col13 where Col1 = '"",C30,""' and Col8 = 'Gender Equality'""),0)&gt;70,1,0)"),"#REF!")</f>
        <v>#REF!</v>
      </c>
      <c r="X30" s="34" t="str">
        <f>IFERROR(__xludf.DUMMYFUNCTION("IF(query(Data!A:M,CONCATENATE(""select Col13 where Col1 = '"",C30,""' and Col8 = 'Human Oversight and Determination'""),0)&gt;70,1,0)"),"#REF!")</f>
        <v>#REF!</v>
      </c>
      <c r="Y30" s="34" t="str">
        <f>IFERROR(__xludf.DUMMYFUNCTION("IF(query(Data!A:M,CONCATENATE(""select Col13 where Col1 = '"",C30,""' and Col8 = 'Labour Protection and Right to Work'""),0)&gt;70,1,0)"),"#REF!")</f>
        <v>#REF!</v>
      </c>
      <c r="Z30" s="34" t="str">
        <f>IFERROR(__xludf.DUMMYFUNCTION("IF(query(Data!A:M,CONCATENATE(""select Col13 where Col1 = '"",C30,""' and Col8 = 'Safety, Accuracy and Reliability'""),0)&gt;70,1,0)"),"#REF!")</f>
        <v>#REF!</v>
      </c>
      <c r="AA30" s="34" t="str">
        <f>IFERROR(__xludf.DUMMYFUNCTION("IF(query(Data!A:M,CONCATENATE(""select Col13 where Col1 = '"",C30,""' and Col8 = 'Transparency and Explainability'""),0)&gt;70,1,0)"),"#REF!")</f>
        <v>#REF!</v>
      </c>
      <c r="AB30" s="35">
        <f t="shared" si="2"/>
        <v>0</v>
      </c>
      <c r="AC30" s="35">
        <f t="shared" si="3"/>
        <v>0</v>
      </c>
      <c r="AD30" s="35">
        <f t="shared" si="4"/>
        <v>0</v>
      </c>
      <c r="AE30" s="35">
        <f t="shared" si="5"/>
        <v>0</v>
      </c>
      <c r="AF30" s="35">
        <f t="shared" si="6"/>
        <v>0</v>
      </c>
      <c r="AG30" s="35" t="str">
        <f t="shared" si="7"/>
        <v>No</v>
      </c>
      <c r="AH30" s="35" t="str">
        <f>IFERROR(__xludf.DUMMYFUNCTION("IFERROR(query(query(Data!A:BS,CONCATENATE(""select Col50, count(Col49) where Col1 = '"",C30,""' group by Col50"")), CONCATENATE(""select Col1 where Col2 = "",query(query(query(Data!A:BS,CONCATENATE(""select Col50, count(Col49) where Col1 = '"",C30,""' and"&amp;" Col50 &lt;&gt; 'Other' and Col50 is not null group by Col50"")),""select max(Col2)"",0),""Select *"",0),"" limit 1""),0))"),"")</f>
        <v/>
      </c>
      <c r="AI30" s="35" t="str">
        <f t="shared" si="8"/>
        <v/>
      </c>
      <c r="AJ30" s="35" t="str">
        <f t="shared" si="9"/>
        <v>No</v>
      </c>
      <c r="AK30" s="35" t="str">
        <f>IFERROR(__xludf.DUMMYFUNCTION("IFERROR(query(query(Data!A:BS,CONCATENATE(""select Col70, count(Col69) where Col1 = '"",C30,""' group by Col70"")), CONCATENATE(""select Col1 where Col2 = "",query(query(query(Data!A:BS,CONCATENATE(""select Col70, count(Col69) where Col1 = '"",C30,""' and"&amp;" Col70 &lt;&gt; 'Other' and Col70 is not null group by Col70"")),""select max(Col2)"",0),""Select *"",0),"" limit 1""),0))"),"")</f>
        <v/>
      </c>
      <c r="AL30" s="35" t="str">
        <f t="shared" si="10"/>
        <v/>
      </c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>
      <c r="A31" s="25">
        <v>120.0</v>
      </c>
      <c r="B31" s="26" t="s">
        <v>143</v>
      </c>
      <c r="C31" s="27" t="s">
        <v>144</v>
      </c>
      <c r="D31" s="28" t="s">
        <v>144</v>
      </c>
      <c r="E31" s="28" t="s">
        <v>74</v>
      </c>
      <c r="F31" s="28" t="s">
        <v>74</v>
      </c>
      <c r="G31" s="28" t="s">
        <v>106</v>
      </c>
      <c r="H31" s="29">
        <v>1.1981132078170775</v>
      </c>
      <c r="I31" s="30">
        <v>0.0</v>
      </c>
      <c r="J31" s="30">
        <v>2.995283019542694</v>
      </c>
      <c r="K31" s="30">
        <v>0.0</v>
      </c>
      <c r="L31" s="31">
        <v>0.0</v>
      </c>
      <c r="M31" s="31">
        <v>0.0</v>
      </c>
      <c r="N31" s="31">
        <v>7.588</v>
      </c>
      <c r="O31" s="32" t="s">
        <v>49</v>
      </c>
      <c r="P31" s="32" t="s">
        <v>49</v>
      </c>
      <c r="Q31" s="32" t="s">
        <v>80</v>
      </c>
      <c r="R31" s="33" t="str">
        <f t="shared" si="1"/>
        <v>cap</v>
      </c>
      <c r="S31" s="34" t="str">
        <f>IFERROR(__xludf.DUMMYFUNCTION("IF(query(Data!A:M,CONCATENATE(""select Col13 where Col1 = '"",C31,""' and Col8 = 'Bias and Unfair Discrimination'""),0)&gt;70,1,0)"),"#REF!")</f>
        <v>#REF!</v>
      </c>
      <c r="T31" s="34" t="str">
        <f>IFERROR(__xludf.DUMMYFUNCTION("IF(query(Data!A:M,CONCATENATE(""select Col13 where Col1 = '"",C31,""' and Col8 = 'Childrens Rights'""),0)&gt;70,1,0)"),"#REF!")</f>
        <v>#REF!</v>
      </c>
      <c r="U31" s="34" t="str">
        <f>IFERROR(__xludf.DUMMYFUNCTION("IF(query(Data!A:M,CONCATENATE(""select Col13 where Col1 = '"",C31,""' and Col8 = 'Cultural and Linguistic Diversity'""),0)&gt;70,1,0)"),"#REF!")</f>
        <v>#REF!</v>
      </c>
      <c r="V31" s="34" t="str">
        <f>IFERROR(__xludf.DUMMYFUNCTION("IF(query(Data!A:M,CONCATENATE(""select Col13 where Col1 = '"",C31,""' and Col8 = 'Data Protection and Privacy'""),0)&gt;70,1,0)"),"#REF!")</f>
        <v>#REF!</v>
      </c>
      <c r="W31" s="34" t="str">
        <f>IFERROR(__xludf.DUMMYFUNCTION("IF(query(Data!A:M,CONCATENATE(""select Col13 where Col1 = '"",C31,""' and Col8 = 'Gender Equality'""),0)&gt;70,1,0)"),"#REF!")</f>
        <v>#REF!</v>
      </c>
      <c r="X31" s="34" t="str">
        <f>IFERROR(__xludf.DUMMYFUNCTION("IF(query(Data!A:M,CONCATENATE(""select Col13 where Col1 = '"",C31,""' and Col8 = 'Human Oversight and Determination'""),0)&gt;70,1,0)"),"#REF!")</f>
        <v>#REF!</v>
      </c>
      <c r="Y31" s="34" t="str">
        <f>IFERROR(__xludf.DUMMYFUNCTION("IF(query(Data!A:M,CONCATENATE(""select Col13 where Col1 = '"",C31,""' and Col8 = 'Labour Protection and Right to Work'""),0)&gt;70,1,0)"),"#REF!")</f>
        <v>#REF!</v>
      </c>
      <c r="Z31" s="34" t="str">
        <f>IFERROR(__xludf.DUMMYFUNCTION("IF(query(Data!A:M,CONCATENATE(""select Col13 where Col1 = '"",C31,""' and Col8 = 'Safety, Accuracy and Reliability'""),0)&gt;70,1,0)"),"#REF!")</f>
        <v>#REF!</v>
      </c>
      <c r="AA31" s="34" t="str">
        <f>IFERROR(__xludf.DUMMYFUNCTION("IF(query(Data!A:M,CONCATENATE(""select Col13 where Col1 = '"",C31,""' and Col8 = 'Transparency and Explainability'""),0)&gt;70,1,0)"),"#REF!")</f>
        <v>#REF!</v>
      </c>
      <c r="AB31" s="35">
        <f t="shared" si="2"/>
        <v>0</v>
      </c>
      <c r="AC31" s="35">
        <f t="shared" si="3"/>
        <v>0</v>
      </c>
      <c r="AD31" s="35">
        <f t="shared" si="4"/>
        <v>0</v>
      </c>
      <c r="AE31" s="35">
        <f t="shared" si="5"/>
        <v>0</v>
      </c>
      <c r="AF31" s="35">
        <f t="shared" si="6"/>
        <v>0</v>
      </c>
      <c r="AG31" s="35" t="str">
        <f t="shared" si="7"/>
        <v>No</v>
      </c>
      <c r="AH31" s="35" t="str">
        <f>IFERROR(__xludf.DUMMYFUNCTION("IFERROR(query(query(Data!A:BS,CONCATENATE(""select Col50, count(Col49) where Col1 = '"",C31,""' group by Col50"")), CONCATENATE(""select Col1 where Col2 = "",query(query(query(Data!A:BS,CONCATENATE(""select Col50, count(Col49) where Col1 = '"",C31,""' and"&amp;" Col50 &lt;&gt; 'Other' and Col50 is not null group by Col50"")),""select max(Col2)"",0),""Select *"",0),"" limit 1""),0))"),"")</f>
        <v/>
      </c>
      <c r="AI31" s="35" t="str">
        <f t="shared" si="8"/>
        <v/>
      </c>
      <c r="AJ31" s="35" t="str">
        <f t="shared" si="9"/>
        <v>No</v>
      </c>
      <c r="AK31" s="35" t="str">
        <f>IFERROR(__xludf.DUMMYFUNCTION("IFERROR(query(query(Data!A:BS,CONCATENATE(""select Col70, count(Col69) where Col1 = '"",C31,""' group by Col70"")), CONCATENATE(""select Col1 where Col2 = "",query(query(query(Data!A:BS,CONCATENATE(""select Col70, count(Col69) where Col1 = '"",C31,""' and"&amp;" Col70 &lt;&gt; 'Other' and Col70 is not null group by Col70"")),""select max(Col2)"",0),""Select *"",0),"" limit 1""),0))"),"")</f>
        <v/>
      </c>
      <c r="AL31" s="35" t="str">
        <f t="shared" si="10"/>
        <v/>
      </c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>
      <c r="A32" s="25">
        <v>23.0</v>
      </c>
      <c r="B32" s="26" t="s">
        <v>145</v>
      </c>
      <c r="C32" s="27" t="s">
        <v>146</v>
      </c>
      <c r="D32" s="28" t="s">
        <v>146</v>
      </c>
      <c r="E32" s="28" t="s">
        <v>79</v>
      </c>
      <c r="F32" s="28" t="s">
        <v>64</v>
      </c>
      <c r="G32" s="28" t="s">
        <v>65</v>
      </c>
      <c r="H32" s="29">
        <v>40.38190981547038</v>
      </c>
      <c r="I32" s="30">
        <v>33.35609032814962</v>
      </c>
      <c r="J32" s="30">
        <v>49.17763157894737</v>
      </c>
      <c r="K32" s="30">
        <v>36.84210526315789</v>
      </c>
      <c r="L32" s="31">
        <v>42.44799999999999</v>
      </c>
      <c r="M32" s="31">
        <v>43.46888888888889</v>
      </c>
      <c r="N32" s="31">
        <v>26.3</v>
      </c>
      <c r="O32" s="32" t="s">
        <v>54</v>
      </c>
      <c r="P32" s="32" t="s">
        <v>54</v>
      </c>
      <c r="Q32" s="32" t="s">
        <v>59</v>
      </c>
      <c r="R32" s="33" t="str">
        <f t="shared" si="1"/>
        <v>gob</v>
      </c>
      <c r="S32" s="34" t="str">
        <f>IFERROR(__xludf.DUMMYFUNCTION("IF(query(Data!A:M,CONCATENATE(""select Col13 where Col1 = '"",C32,""' and Col8 = 'Bias and Unfair Discrimination'""),0)&gt;70,1,0)"),"#REF!")</f>
        <v>#REF!</v>
      </c>
      <c r="T32" s="34" t="str">
        <f>IFERROR(__xludf.DUMMYFUNCTION("IF(query(Data!A:M,CONCATENATE(""select Col13 where Col1 = '"",C32,""' and Col8 = 'Childrens Rights'""),0)&gt;70,1,0)"),"#REF!")</f>
        <v>#REF!</v>
      </c>
      <c r="U32" s="34" t="str">
        <f>IFERROR(__xludf.DUMMYFUNCTION("IF(query(Data!A:M,CONCATENATE(""select Col13 where Col1 = '"",C32,""' and Col8 = 'Cultural and Linguistic Diversity'""),0)&gt;70,1,0)"),"#REF!")</f>
        <v>#REF!</v>
      </c>
      <c r="V32" s="34" t="str">
        <f>IFERROR(__xludf.DUMMYFUNCTION("IF(query(Data!A:M,CONCATENATE(""select Col13 where Col1 = '"",C32,""' and Col8 = 'Data Protection and Privacy'""),0)&gt;70,1,0)"),"#REF!")</f>
        <v>#REF!</v>
      </c>
      <c r="W32" s="34" t="str">
        <f>IFERROR(__xludf.DUMMYFUNCTION("IF(query(Data!A:M,CONCATENATE(""select Col13 where Col1 = '"",C32,""' and Col8 = 'Gender Equality'""),0)&gt;70,1,0)"),"#REF!")</f>
        <v>#REF!</v>
      </c>
      <c r="X32" s="34" t="str">
        <f>IFERROR(__xludf.DUMMYFUNCTION("IF(query(Data!A:M,CONCATENATE(""select Col13 where Col1 = '"",C32,""' and Col8 = 'Human Oversight and Determination'""),0)&gt;70,1,0)"),"#REF!")</f>
        <v>#REF!</v>
      </c>
      <c r="Y32" s="34" t="str">
        <f>IFERROR(__xludf.DUMMYFUNCTION("IF(query(Data!A:M,CONCATENATE(""select Col13 where Col1 = '"",C32,""' and Col8 = 'Labour Protection and Right to Work'""),0)&gt;70,1,0)"),"#REF!")</f>
        <v>#REF!</v>
      </c>
      <c r="Z32" s="34" t="str">
        <f>IFERROR(__xludf.DUMMYFUNCTION("IF(query(Data!A:M,CONCATENATE(""select Col13 where Col1 = '"",C32,""' and Col8 = 'Safety, Accuracy and Reliability'""),0)&gt;70,1,0)"),"#REF!")</f>
        <v>#REF!</v>
      </c>
      <c r="AA32" s="34" t="str">
        <f>IFERROR(__xludf.DUMMYFUNCTION("IF(query(Data!A:M,CONCATENATE(""select Col13 where Col1 = '"",C32,""' and Col8 = 'Transparency and Explainability'""),0)&gt;70,1,0)"),"#REF!")</f>
        <v>#REF!</v>
      </c>
      <c r="AB32" s="35">
        <f t="shared" si="2"/>
        <v>0</v>
      </c>
      <c r="AC32" s="35">
        <f t="shared" si="3"/>
        <v>0</v>
      </c>
      <c r="AD32" s="35">
        <f t="shared" si="4"/>
        <v>0</v>
      </c>
      <c r="AE32" s="35">
        <f t="shared" si="5"/>
        <v>0</v>
      </c>
      <c r="AF32" s="35">
        <f t="shared" si="6"/>
        <v>0</v>
      </c>
      <c r="AG32" s="35" t="str">
        <f t="shared" si="7"/>
        <v>No</v>
      </c>
      <c r="AH32" s="35" t="str">
        <f>IFERROR(__xludf.DUMMYFUNCTION("IFERROR(query(query(Data!A:BS,CONCATENATE(""select Col50, count(Col49) where Col1 = '"",C32,""' group by Col50"")), CONCATENATE(""select Col1 where Col2 = "",query(query(query(Data!A:BS,CONCATENATE(""select Col50, count(Col49) where Col1 = '"",C32,""' and"&amp;" Col50 &lt;&gt; 'Other' and Col50 is not null group by Col50"")),""select max(Col2)"",0),""Select *"",0),"" limit 1""),0))"),"")</f>
        <v/>
      </c>
      <c r="AI32" s="35" t="str">
        <f t="shared" si="8"/>
        <v/>
      </c>
      <c r="AJ32" s="35" t="str">
        <f t="shared" si="9"/>
        <v>No</v>
      </c>
      <c r="AK32" s="35" t="str">
        <f>IFERROR(__xludf.DUMMYFUNCTION("IFERROR(query(query(Data!A:BS,CONCATENATE(""select Col70, count(Col69) where Col1 = '"",C32,""' group by Col70"")), CONCATENATE(""select Col1 where Col2 = "",query(query(query(Data!A:BS,CONCATENATE(""select Col70, count(Col69) where Col1 = '"",C32,""' and"&amp;" Col70 &lt;&gt; 'Other' and Col70 is not null group by Col70"")),""select max(Col2)"",0),""Select *"",0),"" limit 1""),0))"),"")</f>
        <v/>
      </c>
      <c r="AL32" s="35" t="str">
        <f t="shared" si="10"/>
        <v/>
      </c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>
      <c r="A33" s="25">
        <v>32.0</v>
      </c>
      <c r="B33" s="26" t="s">
        <v>147</v>
      </c>
      <c r="C33" s="27" t="s">
        <v>148</v>
      </c>
      <c r="D33" s="28" t="s">
        <v>148</v>
      </c>
      <c r="E33" s="28" t="s">
        <v>46</v>
      </c>
      <c r="F33" s="28" t="s">
        <v>47</v>
      </c>
      <c r="G33" s="28" t="s">
        <v>149</v>
      </c>
      <c r="H33" s="29">
        <v>35.30406926673756</v>
      </c>
      <c r="I33" s="30">
        <v>22.106711496386612</v>
      </c>
      <c r="J33" s="30">
        <v>54.071498951159036</v>
      </c>
      <c r="K33" s="30">
        <v>24.163925438596486</v>
      </c>
      <c r="L33" s="31">
        <v>25.39628571428571</v>
      </c>
      <c r="M33" s="31">
        <v>39.128888888888895</v>
      </c>
      <c r="N33" s="31">
        <v>46.94800000000001</v>
      </c>
      <c r="O33" s="32" t="s">
        <v>80</v>
      </c>
      <c r="P33" s="32" t="s">
        <v>54</v>
      </c>
      <c r="Q33" s="32" t="s">
        <v>49</v>
      </c>
      <c r="R33" s="33" t="str">
        <f t="shared" si="1"/>
        <v>cap</v>
      </c>
      <c r="S33" s="34" t="str">
        <f>IFERROR(__xludf.DUMMYFUNCTION("IF(query(Data!A:M,CONCATENATE(""select Col13 where Col1 = '"",C33,""' and Col8 = 'Bias and Unfair Discrimination'""),0)&gt;70,1,0)"),"#REF!")</f>
        <v>#REF!</v>
      </c>
      <c r="T33" s="34" t="str">
        <f>IFERROR(__xludf.DUMMYFUNCTION("IF(query(Data!A:M,CONCATENATE(""select Col13 where Col1 = '"",C33,""' and Col8 = 'Childrens Rights'""),0)&gt;70,1,0)"),"#REF!")</f>
        <v>#REF!</v>
      </c>
      <c r="U33" s="34" t="str">
        <f>IFERROR(__xludf.DUMMYFUNCTION("IF(query(Data!A:M,CONCATENATE(""select Col13 where Col1 = '"",C33,""' and Col8 = 'Cultural and Linguistic Diversity'""),0)&gt;70,1,0)"),"#REF!")</f>
        <v>#REF!</v>
      </c>
      <c r="V33" s="34" t="str">
        <f>IFERROR(__xludf.DUMMYFUNCTION("IF(query(Data!A:M,CONCATENATE(""select Col13 where Col1 = '"",C33,""' and Col8 = 'Data Protection and Privacy'""),0)&gt;70,1,0)"),"#REF!")</f>
        <v>#REF!</v>
      </c>
      <c r="W33" s="34" t="str">
        <f>IFERROR(__xludf.DUMMYFUNCTION("IF(query(Data!A:M,CONCATENATE(""select Col13 where Col1 = '"",C33,""' and Col8 = 'Gender Equality'""),0)&gt;70,1,0)"),"#REF!")</f>
        <v>#REF!</v>
      </c>
      <c r="X33" s="34" t="str">
        <f>IFERROR(__xludf.DUMMYFUNCTION("IF(query(Data!A:M,CONCATENATE(""select Col13 where Col1 = '"",C33,""' and Col8 = 'Human Oversight and Determination'""),0)&gt;70,1,0)"),"#REF!")</f>
        <v>#REF!</v>
      </c>
      <c r="Y33" s="34" t="str">
        <f>IFERROR(__xludf.DUMMYFUNCTION("IF(query(Data!A:M,CONCATENATE(""select Col13 where Col1 = '"",C33,""' and Col8 = 'Labour Protection and Right to Work'""),0)&gt;70,1,0)"),"#REF!")</f>
        <v>#REF!</v>
      </c>
      <c r="Z33" s="34" t="str">
        <f>IFERROR(__xludf.DUMMYFUNCTION("IF(query(Data!A:M,CONCATENATE(""select Col13 where Col1 = '"",C33,""' and Col8 = 'Safety, Accuracy and Reliability'""),0)&gt;70,1,0)"),"#REF!")</f>
        <v>#REF!</v>
      </c>
      <c r="AA33" s="34" t="str">
        <f>IFERROR(__xludf.DUMMYFUNCTION("IF(query(Data!A:M,CONCATENATE(""select Col13 where Col1 = '"",C33,""' and Col8 = 'Transparency and Explainability'""),0)&gt;70,1,0)"),"#REF!")</f>
        <v>#REF!</v>
      </c>
      <c r="AB33" s="35">
        <f t="shared" si="2"/>
        <v>0</v>
      </c>
      <c r="AC33" s="35">
        <f t="shared" si="3"/>
        <v>0</v>
      </c>
      <c r="AD33" s="35">
        <f t="shared" si="4"/>
        <v>0</v>
      </c>
      <c r="AE33" s="35">
        <f t="shared" si="5"/>
        <v>0</v>
      </c>
      <c r="AF33" s="35">
        <f t="shared" si="6"/>
        <v>0</v>
      </c>
      <c r="AG33" s="35" t="str">
        <f t="shared" si="7"/>
        <v>No</v>
      </c>
      <c r="AH33" s="35" t="str">
        <f>IFERROR(__xludf.DUMMYFUNCTION("IFERROR(query(query(Data!A:BS,CONCATENATE(""select Col50, count(Col49) where Col1 = '"",C33,""' group by Col50"")), CONCATENATE(""select Col1 where Col2 = "",query(query(query(Data!A:BS,CONCATENATE(""select Col50, count(Col49) where Col1 = '"",C33,""' and"&amp;" Col50 &lt;&gt; 'Other' and Col50 is not null group by Col50"")),""select max(Col2)"",0),""Select *"",0),"" limit 1""),0))"),"")</f>
        <v/>
      </c>
      <c r="AI33" s="35" t="str">
        <f t="shared" si="8"/>
        <v/>
      </c>
      <c r="AJ33" s="35" t="str">
        <f t="shared" si="9"/>
        <v>No</v>
      </c>
      <c r="AK33" s="35" t="str">
        <f>IFERROR(__xludf.DUMMYFUNCTION("IFERROR(query(query(Data!A:BS,CONCATENATE(""select Col70, count(Col69) where Col1 = '"",C33,""' group by Col70"")), CONCATENATE(""select Col1 where Col2 = "",query(query(query(Data!A:BS,CONCATENATE(""select Col70, count(Col69) where Col1 = '"",C33,""' and"&amp;" Col70 &lt;&gt; 'Other' and Col70 is not null group by Col70"")),""select max(Col2)"",0),""Select *"",0),"" limit 1""),0))"),"")</f>
        <v/>
      </c>
      <c r="AL33" s="35" t="str">
        <f t="shared" si="10"/>
        <v/>
      </c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>
      <c r="A34" s="25">
        <v>48.0</v>
      </c>
      <c r="B34" s="26" t="s">
        <v>150</v>
      </c>
      <c r="C34" s="27" t="s">
        <v>151</v>
      </c>
      <c r="D34" s="28" t="s">
        <v>151</v>
      </c>
      <c r="E34" s="28" t="s">
        <v>79</v>
      </c>
      <c r="F34" s="28" t="s">
        <v>64</v>
      </c>
      <c r="G34" s="28" t="s">
        <v>65</v>
      </c>
      <c r="H34" s="29">
        <v>23.83956066834299</v>
      </c>
      <c r="I34" s="30">
        <v>24.505544695937843</v>
      </c>
      <c r="J34" s="30">
        <v>18.1662736415863</v>
      </c>
      <c r="K34" s="30">
        <v>33.854166666666664</v>
      </c>
      <c r="L34" s="31">
        <v>25.363857142857146</v>
      </c>
      <c r="M34" s="31">
        <v>24.37977777777778</v>
      </c>
      <c r="N34" s="31">
        <v>18.662666666666667</v>
      </c>
      <c r="O34" s="32" t="s">
        <v>54</v>
      </c>
      <c r="P34" s="32" t="s">
        <v>54</v>
      </c>
      <c r="Q34" s="32" t="s">
        <v>54</v>
      </c>
      <c r="R34" s="33" t="str">
        <f t="shared" si="1"/>
        <v>ddhh</v>
      </c>
      <c r="S34" s="34" t="str">
        <f>IFERROR(__xludf.DUMMYFUNCTION("IF(query(Data!A:M,CONCATENATE(""select Col13 where Col1 = '"",C34,""' and Col8 = 'Bias and Unfair Discrimination'""),0)&gt;70,1,0)"),"#REF!")</f>
        <v>#REF!</v>
      </c>
      <c r="T34" s="34" t="str">
        <f>IFERROR(__xludf.DUMMYFUNCTION("IF(query(Data!A:M,CONCATENATE(""select Col13 where Col1 = '"",C34,""' and Col8 = 'Childrens Rights'""),0)&gt;70,1,0)"),"#REF!")</f>
        <v>#REF!</v>
      </c>
      <c r="U34" s="34" t="str">
        <f>IFERROR(__xludf.DUMMYFUNCTION("IF(query(Data!A:M,CONCATENATE(""select Col13 where Col1 = '"",C34,""' and Col8 = 'Cultural and Linguistic Diversity'""),0)&gt;70,1,0)"),"#REF!")</f>
        <v>#REF!</v>
      </c>
      <c r="V34" s="34" t="str">
        <f>IFERROR(__xludf.DUMMYFUNCTION("IF(query(Data!A:M,CONCATENATE(""select Col13 where Col1 = '"",C34,""' and Col8 = 'Data Protection and Privacy'""),0)&gt;70,1,0)"),"#REF!")</f>
        <v>#REF!</v>
      </c>
      <c r="W34" s="34" t="str">
        <f>IFERROR(__xludf.DUMMYFUNCTION("IF(query(Data!A:M,CONCATENATE(""select Col13 where Col1 = '"",C34,""' and Col8 = 'Gender Equality'""),0)&gt;70,1,0)"),"#REF!")</f>
        <v>#REF!</v>
      </c>
      <c r="X34" s="34" t="str">
        <f>IFERROR(__xludf.DUMMYFUNCTION("IF(query(Data!A:M,CONCATENATE(""select Col13 where Col1 = '"",C34,""' and Col8 = 'Human Oversight and Determination'""),0)&gt;70,1,0)"),"#REF!")</f>
        <v>#REF!</v>
      </c>
      <c r="Y34" s="34" t="str">
        <f>IFERROR(__xludf.DUMMYFUNCTION("IF(query(Data!A:M,CONCATENATE(""select Col13 where Col1 = '"",C34,""' and Col8 = 'Labour Protection and Right to Work'""),0)&gt;70,1,0)"),"#REF!")</f>
        <v>#REF!</v>
      </c>
      <c r="Z34" s="34" t="str">
        <f>IFERROR(__xludf.DUMMYFUNCTION("IF(query(Data!A:M,CONCATENATE(""select Col13 where Col1 = '"",C34,""' and Col8 = 'Safety, Accuracy and Reliability'""),0)&gt;70,1,0)"),"#REF!")</f>
        <v>#REF!</v>
      </c>
      <c r="AA34" s="34" t="str">
        <f>IFERROR(__xludf.DUMMYFUNCTION("IF(query(Data!A:M,CONCATENATE(""select Col13 where Col1 = '"",C34,""' and Col8 = 'Transparency and Explainability'""),0)&gt;70,1,0)"),"#REF!")</f>
        <v>#REF!</v>
      </c>
      <c r="AB34" s="35">
        <f t="shared" si="2"/>
        <v>0</v>
      </c>
      <c r="AC34" s="35">
        <f t="shared" si="3"/>
        <v>0</v>
      </c>
      <c r="AD34" s="35">
        <f t="shared" si="4"/>
        <v>0</v>
      </c>
      <c r="AE34" s="35">
        <f t="shared" si="5"/>
        <v>0</v>
      </c>
      <c r="AF34" s="35">
        <f t="shared" si="6"/>
        <v>0</v>
      </c>
      <c r="AG34" s="35" t="str">
        <f t="shared" si="7"/>
        <v>No</v>
      </c>
      <c r="AH34" s="35" t="str">
        <f>IFERROR(__xludf.DUMMYFUNCTION("IFERROR(query(query(Data!A:BS,CONCATENATE(""select Col50, count(Col49) where Col1 = '"",C34,""' group by Col50"")), CONCATENATE(""select Col1 where Col2 = "",query(query(query(Data!A:BS,CONCATENATE(""select Col50, count(Col49) where Col1 = '"",C34,""' and"&amp;" Col50 &lt;&gt; 'Other' and Col50 is not null group by Col50"")),""select max(Col2)"",0),""Select *"",0),"" limit 1""),0))"),"")</f>
        <v/>
      </c>
      <c r="AI34" s="35" t="str">
        <f t="shared" si="8"/>
        <v/>
      </c>
      <c r="AJ34" s="35" t="str">
        <f t="shared" si="9"/>
        <v>No</v>
      </c>
      <c r="AK34" s="35" t="str">
        <f>IFERROR(__xludf.DUMMYFUNCTION("IFERROR(query(query(Data!A:BS,CONCATENATE(""select Col70, count(Col69) where Col1 = '"",C34,""' group by Col70"")), CONCATENATE(""select Col1 where Col2 = "",query(query(query(Data!A:BS,CONCATENATE(""select Col70, count(Col69) where Col1 = '"",C34,""' and"&amp;" Col70 &lt;&gt; 'Other' and Col70 is not null group by Col70"")),""select max(Col2)"",0),""Select *"",0),"" limit 1""),0))"),"")</f>
        <v/>
      </c>
      <c r="AL34" s="35" t="str">
        <f t="shared" si="10"/>
        <v/>
      </c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>
      <c r="A35" s="25">
        <v>44.0</v>
      </c>
      <c r="B35" s="26" t="s">
        <v>152</v>
      </c>
      <c r="C35" s="27" t="s">
        <v>153</v>
      </c>
      <c r="D35" s="28" t="s">
        <v>153</v>
      </c>
      <c r="E35" s="28" t="s">
        <v>79</v>
      </c>
      <c r="F35" s="28" t="s">
        <v>64</v>
      </c>
      <c r="G35" s="28" t="s">
        <v>65</v>
      </c>
      <c r="H35" s="29">
        <v>27.05383158365886</v>
      </c>
      <c r="I35" s="30">
        <v>0.0</v>
      </c>
      <c r="J35" s="30">
        <v>58.286991239848895</v>
      </c>
      <c r="K35" s="30">
        <v>18.695175438596493</v>
      </c>
      <c r="L35" s="31">
        <v>33.12071428571428</v>
      </c>
      <c r="M35" s="31">
        <v>27.795888888888893</v>
      </c>
      <c r="N35" s="31">
        <v>10.671666666666667</v>
      </c>
      <c r="O35" s="32" t="s">
        <v>54</v>
      </c>
      <c r="P35" s="32" t="s">
        <v>54</v>
      </c>
      <c r="Q35" s="32" t="s">
        <v>59</v>
      </c>
      <c r="R35" s="33" t="str">
        <f t="shared" si="1"/>
        <v>ddhh</v>
      </c>
      <c r="S35" s="34" t="str">
        <f>IFERROR(__xludf.DUMMYFUNCTION("IF(query(Data!A:M,CONCATENATE(""select Col13 where Col1 = '"",C35,""' and Col8 = 'Bias and Unfair Discrimination'""),0)&gt;70,1,0)"),"#REF!")</f>
        <v>#REF!</v>
      </c>
      <c r="T35" s="34" t="str">
        <f>IFERROR(__xludf.DUMMYFUNCTION("IF(query(Data!A:M,CONCATENATE(""select Col13 where Col1 = '"",C35,""' and Col8 = 'Childrens Rights'""),0)&gt;70,1,0)"),"#REF!")</f>
        <v>#REF!</v>
      </c>
      <c r="U35" s="34" t="str">
        <f>IFERROR(__xludf.DUMMYFUNCTION("IF(query(Data!A:M,CONCATENATE(""select Col13 where Col1 = '"",C35,""' and Col8 = 'Cultural and Linguistic Diversity'""),0)&gt;70,1,0)"),"#REF!")</f>
        <v>#REF!</v>
      </c>
      <c r="V35" s="34" t="str">
        <f>IFERROR(__xludf.DUMMYFUNCTION("IF(query(Data!A:M,CONCATENATE(""select Col13 where Col1 = '"",C35,""' and Col8 = 'Data Protection and Privacy'""),0)&gt;70,1,0)"),"#REF!")</f>
        <v>#REF!</v>
      </c>
      <c r="W35" s="34" t="str">
        <f>IFERROR(__xludf.DUMMYFUNCTION("IF(query(Data!A:M,CONCATENATE(""select Col13 where Col1 = '"",C35,""' and Col8 = 'Gender Equality'""),0)&gt;70,1,0)"),"#REF!")</f>
        <v>#REF!</v>
      </c>
      <c r="X35" s="34" t="str">
        <f>IFERROR(__xludf.DUMMYFUNCTION("IF(query(Data!A:M,CONCATENATE(""select Col13 where Col1 = '"",C35,""' and Col8 = 'Human Oversight and Determination'""),0)&gt;70,1,0)"),"#REF!")</f>
        <v>#REF!</v>
      </c>
      <c r="Y35" s="34" t="str">
        <f>IFERROR(__xludf.DUMMYFUNCTION("IF(query(Data!A:M,CONCATENATE(""select Col13 where Col1 = '"",C35,""' and Col8 = 'Labour Protection and Right to Work'""),0)&gt;70,1,0)"),"#REF!")</f>
        <v>#REF!</v>
      </c>
      <c r="Z35" s="34" t="str">
        <f>IFERROR(__xludf.DUMMYFUNCTION("IF(query(Data!A:M,CONCATENATE(""select Col13 where Col1 = '"",C35,""' and Col8 = 'Safety, Accuracy and Reliability'""),0)&gt;70,1,0)"),"#REF!")</f>
        <v>#REF!</v>
      </c>
      <c r="AA35" s="34" t="str">
        <f>IFERROR(__xludf.DUMMYFUNCTION("IF(query(Data!A:M,CONCATENATE(""select Col13 where Col1 = '"",C35,""' and Col8 = 'Transparency and Explainability'""),0)&gt;70,1,0)"),"#REF!")</f>
        <v>#REF!</v>
      </c>
      <c r="AB35" s="35">
        <f t="shared" si="2"/>
        <v>0</v>
      </c>
      <c r="AC35" s="35">
        <f t="shared" si="3"/>
        <v>0</v>
      </c>
      <c r="AD35" s="35">
        <f t="shared" si="4"/>
        <v>0</v>
      </c>
      <c r="AE35" s="35">
        <f t="shared" si="5"/>
        <v>0</v>
      </c>
      <c r="AF35" s="35">
        <f t="shared" si="6"/>
        <v>0</v>
      </c>
      <c r="AG35" s="35" t="str">
        <f t="shared" si="7"/>
        <v>No</v>
      </c>
      <c r="AH35" s="35" t="str">
        <f>IFERROR(__xludf.DUMMYFUNCTION("IFERROR(query(query(Data!A:BS,CONCATENATE(""select Col50, count(Col49) where Col1 = '"",C35,""' group by Col50"")), CONCATENATE(""select Col1 where Col2 = "",query(query(query(Data!A:BS,CONCATENATE(""select Col50, count(Col49) where Col1 = '"",C35,""' and"&amp;" Col50 &lt;&gt; 'Other' and Col50 is not null group by Col50"")),""select max(Col2)"",0),""Select *"",0),"" limit 1""),0))"),"")</f>
        <v/>
      </c>
      <c r="AI35" s="35" t="str">
        <f t="shared" si="8"/>
        <v/>
      </c>
      <c r="AJ35" s="35" t="str">
        <f t="shared" si="9"/>
        <v>No</v>
      </c>
      <c r="AK35" s="35" t="str">
        <f>IFERROR(__xludf.DUMMYFUNCTION("IFERROR(query(query(Data!A:BS,CONCATENATE(""select Col70, count(Col69) where Col1 = '"",C35,""' group by Col70"")), CONCATENATE(""select Col1 where Col2 = "",query(query(query(Data!A:BS,CONCATENATE(""select Col70, count(Col69) where Col1 = '"",C35,""' and"&amp;" Col70 &lt;&gt; 'Other' and Col70 is not null group by Col70"")),""select max(Col2)"",0),""Select *"",0),"" limit 1""),0))"),"")</f>
        <v/>
      </c>
      <c r="AL35" s="35" t="str">
        <f t="shared" si="10"/>
        <v/>
      </c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>
      <c r="A36" s="25">
        <v>123.0</v>
      </c>
      <c r="B36" s="26" t="s">
        <v>154</v>
      </c>
      <c r="C36" s="28" t="s">
        <v>155</v>
      </c>
      <c r="D36" s="28" t="s">
        <v>156</v>
      </c>
      <c r="E36" s="28" t="s">
        <v>74</v>
      </c>
      <c r="F36" s="28" t="s">
        <v>74</v>
      </c>
      <c r="G36" s="28" t="s">
        <v>106</v>
      </c>
      <c r="H36" s="29">
        <v>1.0434458752682338</v>
      </c>
      <c r="I36" s="30">
        <v>0.0</v>
      </c>
      <c r="J36" s="30">
        <v>2.6086146881705843</v>
      </c>
      <c r="K36" s="30">
        <v>0.0</v>
      </c>
      <c r="L36" s="31">
        <v>0.0</v>
      </c>
      <c r="M36" s="31">
        <v>0.0</v>
      </c>
      <c r="N36" s="31">
        <v>6.608333333333333</v>
      </c>
      <c r="O36" s="32" t="s">
        <v>80</v>
      </c>
      <c r="P36" s="32" t="s">
        <v>80</v>
      </c>
      <c r="Q36" s="32" t="s">
        <v>54</v>
      </c>
      <c r="R36" s="33" t="str">
        <f t="shared" si="1"/>
        <v>cap</v>
      </c>
      <c r="S36" s="34" t="str">
        <f>IFERROR(__xludf.DUMMYFUNCTION("IF(query(Data!A:M,CONCATENATE(""select Col13 where Col1 = '"",C36,""' and Col8 = 'Bias and Unfair Discrimination'""),0)&gt;70,1,0)"),"#REF!")</f>
        <v>#REF!</v>
      </c>
      <c r="T36" s="34" t="str">
        <f>IFERROR(__xludf.DUMMYFUNCTION("IF(query(Data!A:M,CONCATENATE(""select Col13 where Col1 = '"",C36,""' and Col8 = 'Childrens Rights'""),0)&gt;70,1,0)"),"#REF!")</f>
        <v>#REF!</v>
      </c>
      <c r="U36" s="34" t="str">
        <f>IFERROR(__xludf.DUMMYFUNCTION("IF(query(Data!A:M,CONCATENATE(""select Col13 where Col1 = '"",C36,""' and Col8 = 'Cultural and Linguistic Diversity'""),0)&gt;70,1,0)"),"#REF!")</f>
        <v>#REF!</v>
      </c>
      <c r="V36" s="34" t="str">
        <f>IFERROR(__xludf.DUMMYFUNCTION("IF(query(Data!A:M,CONCATENATE(""select Col13 where Col1 = '"",C36,""' and Col8 = 'Data Protection and Privacy'""),0)&gt;70,1,0)"),"#REF!")</f>
        <v>#REF!</v>
      </c>
      <c r="W36" s="34" t="str">
        <f>IFERROR(__xludf.DUMMYFUNCTION("IF(query(Data!A:M,CONCATENATE(""select Col13 where Col1 = '"",C36,""' and Col8 = 'Gender Equality'""),0)&gt;70,1,0)"),"#REF!")</f>
        <v>#REF!</v>
      </c>
      <c r="X36" s="34" t="str">
        <f>IFERROR(__xludf.DUMMYFUNCTION("IF(query(Data!A:M,CONCATENATE(""select Col13 where Col1 = '"",C36,""' and Col8 = 'Human Oversight and Determination'""),0)&gt;70,1,0)"),"#REF!")</f>
        <v>#REF!</v>
      </c>
      <c r="Y36" s="34" t="str">
        <f>IFERROR(__xludf.DUMMYFUNCTION("IF(query(Data!A:M,CONCATENATE(""select Col13 where Col1 = '"",C36,""' and Col8 = 'Labour Protection and Right to Work'""),0)&gt;70,1,0)"),"#REF!")</f>
        <v>#REF!</v>
      </c>
      <c r="Z36" s="34" t="str">
        <f>IFERROR(__xludf.DUMMYFUNCTION("IF(query(Data!A:M,CONCATENATE(""select Col13 where Col1 = '"",C36,""' and Col8 = 'Safety, Accuracy and Reliability'""),0)&gt;70,1,0)"),"#REF!")</f>
        <v>#REF!</v>
      </c>
      <c r="AA36" s="34" t="str">
        <f>IFERROR(__xludf.DUMMYFUNCTION("IF(query(Data!A:M,CONCATENATE(""select Col13 where Col1 = '"",C36,""' and Col8 = 'Transparency and Explainability'""),0)&gt;70,1,0)"),"#REF!")</f>
        <v>#REF!</v>
      </c>
      <c r="AB36" s="35">
        <f t="shared" si="2"/>
        <v>0</v>
      </c>
      <c r="AC36" s="35">
        <f t="shared" si="3"/>
        <v>0</v>
      </c>
      <c r="AD36" s="35">
        <f t="shared" si="4"/>
        <v>0</v>
      </c>
      <c r="AE36" s="35">
        <f t="shared" si="5"/>
        <v>0</v>
      </c>
      <c r="AF36" s="35">
        <f t="shared" si="6"/>
        <v>0</v>
      </c>
      <c r="AG36" s="35" t="str">
        <f t="shared" si="7"/>
        <v>No</v>
      </c>
      <c r="AH36" s="35" t="str">
        <f>IFERROR(__xludf.DUMMYFUNCTION("IFERROR(query(query(Data!A:BS,CONCATENATE(""select Col50, count(Col49) where Col1 = '"",C36,""' group by Col50"")), CONCATENATE(""select Col1 where Col2 = "",query(query(query(Data!A:BS,CONCATENATE(""select Col50, count(Col49) where Col1 = '"",C36,""' and"&amp;" Col50 &lt;&gt; 'Other' and Col50 is not null group by Col50"")),""select max(Col2)"",0),""Select *"",0),"" limit 1""),0))"),"")</f>
        <v/>
      </c>
      <c r="AI36" s="35" t="str">
        <f t="shared" si="8"/>
        <v/>
      </c>
      <c r="AJ36" s="35" t="str">
        <f t="shared" si="9"/>
        <v>No</v>
      </c>
      <c r="AK36" s="35" t="str">
        <f>IFERROR(__xludf.DUMMYFUNCTION("IFERROR(query(query(Data!A:BS,CONCATENATE(""select Col70, count(Col69) where Col1 = '"",C36,""' group by Col70"")), CONCATENATE(""select Col1 where Col2 = "",query(query(query(Data!A:BS,CONCATENATE(""select Col70, count(Col69) where Col1 = '"",C36,""' and"&amp;" Col70 &lt;&gt; 'Other' and Col70 is not null group by Col70"")),""select max(Col2)"",0),""Select *"",0),"" limit 1""),0))"),"")</f>
        <v/>
      </c>
      <c r="AL36" s="35" t="str">
        <f t="shared" si="10"/>
        <v/>
      </c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>
      <c r="A37" s="25">
        <v>49.0</v>
      </c>
      <c r="B37" s="26" t="s">
        <v>157</v>
      </c>
      <c r="C37" s="27" t="s">
        <v>158</v>
      </c>
      <c r="D37" s="28" t="s">
        <v>159</v>
      </c>
      <c r="E37" s="28" t="s">
        <v>52</v>
      </c>
      <c r="F37" s="28" t="s">
        <v>52</v>
      </c>
      <c r="G37" s="28" t="s">
        <v>53</v>
      </c>
      <c r="H37" s="29">
        <v>23.58311601003011</v>
      </c>
      <c r="I37" s="30">
        <v>33.591939558062634</v>
      </c>
      <c r="J37" s="30">
        <v>14.764150905609133</v>
      </c>
      <c r="K37" s="30">
        <v>21.20339912280701</v>
      </c>
      <c r="L37" s="31">
        <v>30.950142857142858</v>
      </c>
      <c r="M37" s="31">
        <v>18.43155555555556</v>
      </c>
      <c r="N37" s="31">
        <v>21.848666666666663</v>
      </c>
      <c r="O37" s="32" t="s">
        <v>54</v>
      </c>
      <c r="P37" s="32" t="s">
        <v>54</v>
      </c>
      <c r="Q37" s="32" t="s">
        <v>59</v>
      </c>
      <c r="R37" s="33" t="str">
        <f t="shared" si="1"/>
        <v>ddhh</v>
      </c>
      <c r="S37" s="34" t="str">
        <f>IFERROR(__xludf.DUMMYFUNCTION("IF(query(Data!A:M,CONCATENATE(""select Col13 where Col1 = '"",C37,""' and Col8 = 'Bias and Unfair Discrimination'""),0)&gt;70,1,0)"),"#REF!")</f>
        <v>#REF!</v>
      </c>
      <c r="T37" s="34" t="str">
        <f>IFERROR(__xludf.DUMMYFUNCTION("IF(query(Data!A:M,CONCATENATE(""select Col13 where Col1 = '"",C37,""' and Col8 = 'Childrens Rights'""),0)&gt;70,1,0)"),"#REF!")</f>
        <v>#REF!</v>
      </c>
      <c r="U37" s="34" t="str">
        <f>IFERROR(__xludf.DUMMYFUNCTION("IF(query(Data!A:M,CONCATENATE(""select Col13 where Col1 = '"",C37,""' and Col8 = 'Cultural and Linguistic Diversity'""),0)&gt;70,1,0)"),"#REF!")</f>
        <v>#REF!</v>
      </c>
      <c r="V37" s="34" t="str">
        <f>IFERROR(__xludf.DUMMYFUNCTION("IF(query(Data!A:M,CONCATENATE(""select Col13 where Col1 = '"",C37,""' and Col8 = 'Data Protection and Privacy'""),0)&gt;70,1,0)"),"#REF!")</f>
        <v>#REF!</v>
      </c>
      <c r="W37" s="34" t="str">
        <f>IFERROR(__xludf.DUMMYFUNCTION("IF(query(Data!A:M,CONCATENATE(""select Col13 where Col1 = '"",C37,""' and Col8 = 'Gender Equality'""),0)&gt;70,1,0)"),"#REF!")</f>
        <v>#REF!</v>
      </c>
      <c r="X37" s="34" t="str">
        <f>IFERROR(__xludf.DUMMYFUNCTION("IF(query(Data!A:M,CONCATENATE(""select Col13 where Col1 = '"",C37,""' and Col8 = 'Human Oversight and Determination'""),0)&gt;70,1,0)"),"#REF!")</f>
        <v>#REF!</v>
      </c>
      <c r="Y37" s="34" t="str">
        <f>IFERROR(__xludf.DUMMYFUNCTION("IF(query(Data!A:M,CONCATENATE(""select Col13 where Col1 = '"",C37,""' and Col8 = 'Labour Protection and Right to Work'""),0)&gt;70,1,0)"),"#REF!")</f>
        <v>#REF!</v>
      </c>
      <c r="Z37" s="34" t="str">
        <f>IFERROR(__xludf.DUMMYFUNCTION("IF(query(Data!A:M,CONCATENATE(""select Col13 where Col1 = '"",C37,""' and Col8 = 'Safety, Accuracy and Reliability'""),0)&gt;70,1,0)"),"#REF!")</f>
        <v>#REF!</v>
      </c>
      <c r="AA37" s="34" t="str">
        <f>IFERROR(__xludf.DUMMYFUNCTION("IF(query(Data!A:M,CONCATENATE(""select Col13 where Col1 = '"",C37,""' and Col8 = 'Transparency and Explainability'""),0)&gt;70,1,0)"),"#REF!")</f>
        <v>#REF!</v>
      </c>
      <c r="AB37" s="35">
        <f t="shared" si="2"/>
        <v>0</v>
      </c>
      <c r="AC37" s="35">
        <f t="shared" si="3"/>
        <v>0</v>
      </c>
      <c r="AD37" s="35">
        <f t="shared" si="4"/>
        <v>0</v>
      </c>
      <c r="AE37" s="35">
        <f t="shared" si="5"/>
        <v>0</v>
      </c>
      <c r="AF37" s="35">
        <f t="shared" si="6"/>
        <v>0</v>
      </c>
      <c r="AG37" s="35" t="str">
        <f t="shared" si="7"/>
        <v>No</v>
      </c>
      <c r="AH37" s="35" t="str">
        <f>IFERROR(__xludf.DUMMYFUNCTION("IFERROR(query(query(Data!A:BS,CONCATENATE(""select Col50, count(Col49) where Col1 = '"",C37,""' group by Col50"")), CONCATENATE(""select Col1 where Col2 = "",query(query(query(Data!A:BS,CONCATENATE(""select Col50, count(Col49) where Col1 = '"",C37,""' and"&amp;" Col50 &lt;&gt; 'Other' and Col50 is not null group by Col50"")),""select max(Col2)"",0),""Select *"",0),"" limit 1""),0))"),"")</f>
        <v/>
      </c>
      <c r="AI37" s="35" t="str">
        <f t="shared" si="8"/>
        <v/>
      </c>
      <c r="AJ37" s="35" t="str">
        <f t="shared" si="9"/>
        <v>No</v>
      </c>
      <c r="AK37" s="35" t="str">
        <f>IFERROR(__xludf.DUMMYFUNCTION("IFERROR(query(query(Data!A:BS,CONCATENATE(""select Col70, count(Col69) where Col1 = '"",C37,""' group by Col70"")), CONCATENATE(""select Col1 where Col2 = "",query(query(query(Data!A:BS,CONCATENATE(""select Col70, count(Col69) where Col1 = '"",C37,""' and"&amp;" Col70 &lt;&gt; 'Other' and Col70 is not null group by Col70"")),""select max(Col2)"",0),""Select *"",0),"" limit 1""),0))"),"")</f>
        <v/>
      </c>
      <c r="AL37" s="35" t="str">
        <f t="shared" si="10"/>
        <v/>
      </c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>
      <c r="A38" s="25">
        <v>95.0</v>
      </c>
      <c r="B38" s="26" t="s">
        <v>160</v>
      </c>
      <c r="C38" s="27" t="s">
        <v>161</v>
      </c>
      <c r="D38" s="28" t="s">
        <v>161</v>
      </c>
      <c r="E38" s="28" t="s">
        <v>79</v>
      </c>
      <c r="F38" s="28" t="s">
        <v>64</v>
      </c>
      <c r="G38" s="28" t="s">
        <v>65</v>
      </c>
      <c r="H38" s="29">
        <v>4.5052135397258555</v>
      </c>
      <c r="I38" s="30">
        <v>0.0</v>
      </c>
      <c r="J38" s="30">
        <v>4.848560165104113</v>
      </c>
      <c r="K38" s="30">
        <v>12.828947368421051</v>
      </c>
      <c r="L38" s="31">
        <v>5.416571428571428</v>
      </c>
      <c r="M38" s="31">
        <v>2.0472222222222225</v>
      </c>
      <c r="N38" s="31">
        <v>9.752666666666666</v>
      </c>
      <c r="O38" s="32" t="s">
        <v>76</v>
      </c>
      <c r="P38" s="32" t="s">
        <v>80</v>
      </c>
      <c r="Q38" s="32" t="s">
        <v>54</v>
      </c>
      <c r="R38" s="33" t="str">
        <f t="shared" si="1"/>
        <v>cap</v>
      </c>
      <c r="S38" s="34" t="str">
        <f>IFERROR(__xludf.DUMMYFUNCTION("IF(query(Data!A:M,CONCATENATE(""select Col13 where Col1 = '"",C38,""' and Col8 = 'Bias and Unfair Discrimination'""),0)&gt;70,1,0)"),"#REF!")</f>
        <v>#REF!</v>
      </c>
      <c r="T38" s="34" t="str">
        <f>IFERROR(__xludf.DUMMYFUNCTION("IF(query(Data!A:M,CONCATENATE(""select Col13 where Col1 = '"",C38,""' and Col8 = 'Childrens Rights'""),0)&gt;70,1,0)"),"#REF!")</f>
        <v>#REF!</v>
      </c>
      <c r="U38" s="34" t="str">
        <f>IFERROR(__xludf.DUMMYFUNCTION("IF(query(Data!A:M,CONCATENATE(""select Col13 where Col1 = '"",C38,""' and Col8 = 'Cultural and Linguistic Diversity'""),0)&gt;70,1,0)"),"#REF!")</f>
        <v>#REF!</v>
      </c>
      <c r="V38" s="34" t="str">
        <f>IFERROR(__xludf.DUMMYFUNCTION("IF(query(Data!A:M,CONCATENATE(""select Col13 where Col1 = '"",C38,""' and Col8 = 'Data Protection and Privacy'""),0)&gt;70,1,0)"),"#REF!")</f>
        <v>#REF!</v>
      </c>
      <c r="W38" s="34" t="str">
        <f>IFERROR(__xludf.DUMMYFUNCTION("IF(query(Data!A:M,CONCATENATE(""select Col13 where Col1 = '"",C38,""' and Col8 = 'Gender Equality'""),0)&gt;70,1,0)"),"#REF!")</f>
        <v>#REF!</v>
      </c>
      <c r="X38" s="34" t="str">
        <f>IFERROR(__xludf.DUMMYFUNCTION("IF(query(Data!A:M,CONCATENATE(""select Col13 where Col1 = '"",C38,""' and Col8 = 'Human Oversight and Determination'""),0)&gt;70,1,0)"),"#REF!")</f>
        <v>#REF!</v>
      </c>
      <c r="Y38" s="34" t="str">
        <f>IFERROR(__xludf.DUMMYFUNCTION("IF(query(Data!A:M,CONCATENATE(""select Col13 where Col1 = '"",C38,""' and Col8 = 'Labour Protection and Right to Work'""),0)&gt;70,1,0)"),"#REF!")</f>
        <v>#REF!</v>
      </c>
      <c r="Z38" s="34" t="str">
        <f>IFERROR(__xludf.DUMMYFUNCTION("IF(query(Data!A:M,CONCATENATE(""select Col13 where Col1 = '"",C38,""' and Col8 = 'Safety, Accuracy and Reliability'""),0)&gt;70,1,0)"),"#REF!")</f>
        <v>#REF!</v>
      </c>
      <c r="AA38" s="34" t="str">
        <f>IFERROR(__xludf.DUMMYFUNCTION("IF(query(Data!A:M,CONCATENATE(""select Col13 where Col1 = '"",C38,""' and Col8 = 'Transparency and Explainability'""),0)&gt;70,1,0)"),"#REF!")</f>
        <v>#REF!</v>
      </c>
      <c r="AB38" s="35">
        <f t="shared" si="2"/>
        <v>0</v>
      </c>
      <c r="AC38" s="35">
        <f t="shared" si="3"/>
        <v>0</v>
      </c>
      <c r="AD38" s="35">
        <f t="shared" si="4"/>
        <v>0</v>
      </c>
      <c r="AE38" s="35">
        <f t="shared" si="5"/>
        <v>0</v>
      </c>
      <c r="AF38" s="35">
        <f t="shared" si="6"/>
        <v>0</v>
      </c>
      <c r="AG38" s="35" t="str">
        <f t="shared" si="7"/>
        <v>No</v>
      </c>
      <c r="AH38" s="35" t="str">
        <f>IFERROR(__xludf.DUMMYFUNCTION("IFERROR(query(query(Data!A:BS,CONCATENATE(""select Col50, count(Col49) where Col1 = '"",C38,""' group by Col50"")), CONCATENATE(""select Col1 where Col2 = "",query(query(query(Data!A:BS,CONCATENATE(""select Col50, count(Col49) where Col1 = '"",C38,""' and"&amp;" Col50 &lt;&gt; 'Other' and Col50 is not null group by Col50"")),""select max(Col2)"",0),""Select *"",0),"" limit 1""),0))"),"")</f>
        <v/>
      </c>
      <c r="AI38" s="35" t="str">
        <f t="shared" si="8"/>
        <v/>
      </c>
      <c r="AJ38" s="35" t="str">
        <f t="shared" si="9"/>
        <v>No</v>
      </c>
      <c r="AK38" s="35" t="str">
        <f>IFERROR(__xludf.DUMMYFUNCTION("IFERROR(query(query(Data!A:BS,CONCATENATE(""select Col70, count(Col69) where Col1 = '"",C38,""' group by Col70"")), CONCATENATE(""select Col1 where Col2 = "",query(query(query(Data!A:BS,CONCATENATE(""select Col70, count(Col69) where Col1 = '"",C38,""' and"&amp;" Col70 &lt;&gt; 'Other' and Col70 is not null group by Col70"")),""select max(Col2)"",0),""Select *"",0),"" limit 1""),0))"),"")</f>
        <v/>
      </c>
      <c r="AL38" s="35" t="str">
        <f t="shared" si="10"/>
        <v/>
      </c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>
      <c r="A39" s="25">
        <v>63.0</v>
      </c>
      <c r="B39" s="26" t="s">
        <v>162</v>
      </c>
      <c r="C39" s="27" t="s">
        <v>163</v>
      </c>
      <c r="D39" s="28" t="s">
        <v>164</v>
      </c>
      <c r="E39" s="28" t="s">
        <v>74</v>
      </c>
      <c r="F39" s="28" t="s">
        <v>74</v>
      </c>
      <c r="G39" s="28" t="s">
        <v>75</v>
      </c>
      <c r="H39" s="29">
        <v>15.788366921742758</v>
      </c>
      <c r="I39" s="30">
        <v>24.619331426787795</v>
      </c>
      <c r="J39" s="30">
        <v>14.543197719674362</v>
      </c>
      <c r="K39" s="30">
        <v>0.6167763157894736</v>
      </c>
      <c r="L39" s="31">
        <v>18.123714285714282</v>
      </c>
      <c r="M39" s="31">
        <v>10.545222222222222</v>
      </c>
      <c r="N39" s="31">
        <v>26.069333333333333</v>
      </c>
      <c r="O39" s="32" t="s">
        <v>80</v>
      </c>
      <c r="P39" s="32" t="s">
        <v>76</v>
      </c>
      <c r="Q39" s="32" t="s">
        <v>49</v>
      </c>
      <c r="R39" s="33" t="str">
        <f t="shared" si="1"/>
        <v>cap</v>
      </c>
      <c r="S39" s="34" t="str">
        <f>IFERROR(__xludf.DUMMYFUNCTION("IF(query(Data!A:M,CONCATENATE(""select Col13 where Col1 = '"",C39,""' and Col8 = 'Bias and Unfair Discrimination'""),0)&gt;70,1,0)"),"#REF!")</f>
        <v>#REF!</v>
      </c>
      <c r="T39" s="34" t="str">
        <f>IFERROR(__xludf.DUMMYFUNCTION("IF(query(Data!A:M,CONCATENATE(""select Col13 where Col1 = '"",C39,""' and Col8 = 'Childrens Rights'""),0)&gt;70,1,0)"),"#REF!")</f>
        <v>#REF!</v>
      </c>
      <c r="U39" s="34" t="str">
        <f>IFERROR(__xludf.DUMMYFUNCTION("IF(query(Data!A:M,CONCATENATE(""select Col13 where Col1 = '"",C39,""' and Col8 = 'Cultural and Linguistic Diversity'""),0)&gt;70,1,0)"),"#REF!")</f>
        <v>#REF!</v>
      </c>
      <c r="V39" s="34" t="str">
        <f>IFERROR(__xludf.DUMMYFUNCTION("IF(query(Data!A:M,CONCATENATE(""select Col13 where Col1 = '"",C39,""' and Col8 = 'Data Protection and Privacy'""),0)&gt;70,1,0)"),"#REF!")</f>
        <v>#REF!</v>
      </c>
      <c r="W39" s="34" t="str">
        <f>IFERROR(__xludf.DUMMYFUNCTION("IF(query(Data!A:M,CONCATENATE(""select Col13 where Col1 = '"",C39,""' and Col8 = 'Gender Equality'""),0)&gt;70,1,0)"),"#REF!")</f>
        <v>#REF!</v>
      </c>
      <c r="X39" s="34" t="str">
        <f>IFERROR(__xludf.DUMMYFUNCTION("IF(query(Data!A:M,CONCATENATE(""select Col13 where Col1 = '"",C39,""' and Col8 = 'Human Oversight and Determination'""),0)&gt;70,1,0)"),"#REF!")</f>
        <v>#REF!</v>
      </c>
      <c r="Y39" s="34" t="str">
        <f>IFERROR(__xludf.DUMMYFUNCTION("IF(query(Data!A:M,CONCATENATE(""select Col13 where Col1 = '"",C39,""' and Col8 = 'Labour Protection and Right to Work'""),0)&gt;70,1,0)"),"#REF!")</f>
        <v>#REF!</v>
      </c>
      <c r="Z39" s="34" t="str">
        <f>IFERROR(__xludf.DUMMYFUNCTION("IF(query(Data!A:M,CONCATENATE(""select Col13 where Col1 = '"",C39,""' and Col8 = 'Safety, Accuracy and Reliability'""),0)&gt;70,1,0)"),"#REF!")</f>
        <v>#REF!</v>
      </c>
      <c r="AA39" s="34" t="str">
        <f>IFERROR(__xludf.DUMMYFUNCTION("IF(query(Data!A:M,CONCATENATE(""select Col13 where Col1 = '"",C39,""' and Col8 = 'Transparency and Explainability'""),0)&gt;70,1,0)"),"#REF!")</f>
        <v>#REF!</v>
      </c>
      <c r="AB39" s="35">
        <f t="shared" si="2"/>
        <v>0</v>
      </c>
      <c r="AC39" s="35">
        <f t="shared" si="3"/>
        <v>0</v>
      </c>
      <c r="AD39" s="35">
        <f t="shared" si="4"/>
        <v>0</v>
      </c>
      <c r="AE39" s="35">
        <f t="shared" si="5"/>
        <v>0</v>
      </c>
      <c r="AF39" s="35">
        <f t="shared" si="6"/>
        <v>0</v>
      </c>
      <c r="AG39" s="35" t="str">
        <f t="shared" si="7"/>
        <v>No</v>
      </c>
      <c r="AH39" s="35" t="str">
        <f>IFERROR(__xludf.DUMMYFUNCTION("IFERROR(query(query(Data!A:BS,CONCATENATE(""select Col50, count(Col49) where Col1 = '"",C39,""' group by Col50"")), CONCATENATE(""select Col1 where Col2 = "",query(query(query(Data!A:BS,CONCATENATE(""select Col50, count(Col49) where Col1 = '"",C39,""' and"&amp;" Col50 &lt;&gt; 'Other' and Col50 is not null group by Col50"")),""select max(Col2)"",0),""Select *"",0),"" limit 1""),0))"),"")</f>
        <v/>
      </c>
      <c r="AI39" s="35" t="str">
        <f t="shared" si="8"/>
        <v/>
      </c>
      <c r="AJ39" s="35" t="str">
        <f t="shared" si="9"/>
        <v>No</v>
      </c>
      <c r="AK39" s="35" t="str">
        <f>IFERROR(__xludf.DUMMYFUNCTION("IFERROR(query(query(Data!A:BS,CONCATENATE(""select Col70, count(Col69) where Col1 = '"",C39,""' group by Col70"")), CONCATENATE(""select Col1 where Col2 = "",query(query(query(Data!A:BS,CONCATENATE(""select Col70, count(Col69) where Col1 = '"",C39,""' and"&amp;" Col70 &lt;&gt; 'Other' and Col70 is not null group by Col70"")),""select max(Col2)"",0),""Select *"",0),"" limit 1""),0))"),"")</f>
        <v/>
      </c>
      <c r="AL39" s="35" t="str">
        <f t="shared" si="10"/>
        <v/>
      </c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>
      <c r="A40" s="25">
        <v>103.0</v>
      </c>
      <c r="B40" s="26" t="s">
        <v>165</v>
      </c>
      <c r="C40" s="27" t="s">
        <v>166</v>
      </c>
      <c r="D40" s="28" t="s">
        <v>166</v>
      </c>
      <c r="E40" s="28" t="s">
        <v>79</v>
      </c>
      <c r="F40" s="28" t="s">
        <v>64</v>
      </c>
      <c r="G40" s="28" t="s">
        <v>65</v>
      </c>
      <c r="H40" s="29">
        <v>2.7028612116763466</v>
      </c>
      <c r="I40" s="30">
        <v>2.47951835080197</v>
      </c>
      <c r="J40" s="30">
        <v>2.3656280994415284</v>
      </c>
      <c r="K40" s="30">
        <v>3.8240131578947363</v>
      </c>
      <c r="L40" s="31">
        <v>2.076</v>
      </c>
      <c r="M40" s="31">
        <v>0.0</v>
      </c>
      <c r="N40" s="31">
        <v>12.274333333333333</v>
      </c>
      <c r="O40" s="32" t="s">
        <v>76</v>
      </c>
      <c r="P40" s="32" t="s">
        <v>76</v>
      </c>
      <c r="Q40" s="32" t="s">
        <v>54</v>
      </c>
      <c r="R40" s="33" t="str">
        <f t="shared" si="1"/>
        <v>cap</v>
      </c>
      <c r="S40" s="34" t="str">
        <f>IFERROR(__xludf.DUMMYFUNCTION("IF(query(Data!A:M,CONCATENATE(""select Col13 where Col1 = '"",C40,""' and Col8 = 'Bias and Unfair Discrimination'""),0)&gt;70,1,0)"),"#REF!")</f>
        <v>#REF!</v>
      </c>
      <c r="T40" s="34" t="str">
        <f>IFERROR(__xludf.DUMMYFUNCTION("IF(query(Data!A:M,CONCATENATE(""select Col13 where Col1 = '"",C40,""' and Col8 = 'Childrens Rights'""),0)&gt;70,1,0)"),"#REF!")</f>
        <v>#REF!</v>
      </c>
      <c r="U40" s="34" t="str">
        <f>IFERROR(__xludf.DUMMYFUNCTION("IF(query(Data!A:M,CONCATENATE(""select Col13 where Col1 = '"",C40,""' and Col8 = 'Cultural and Linguistic Diversity'""),0)&gt;70,1,0)"),"#REF!")</f>
        <v>#REF!</v>
      </c>
      <c r="V40" s="34" t="str">
        <f>IFERROR(__xludf.DUMMYFUNCTION("IF(query(Data!A:M,CONCATENATE(""select Col13 where Col1 = '"",C40,""' and Col8 = 'Data Protection and Privacy'""),0)&gt;70,1,0)"),"#REF!")</f>
        <v>#REF!</v>
      </c>
      <c r="W40" s="34" t="str">
        <f>IFERROR(__xludf.DUMMYFUNCTION("IF(query(Data!A:M,CONCATENATE(""select Col13 where Col1 = '"",C40,""' and Col8 = 'Gender Equality'""),0)&gt;70,1,0)"),"#REF!")</f>
        <v>#REF!</v>
      </c>
      <c r="X40" s="34" t="str">
        <f>IFERROR(__xludf.DUMMYFUNCTION("IF(query(Data!A:M,CONCATENATE(""select Col13 where Col1 = '"",C40,""' and Col8 = 'Human Oversight and Determination'""),0)&gt;70,1,0)"),"#REF!")</f>
        <v>#REF!</v>
      </c>
      <c r="Y40" s="34" t="str">
        <f>IFERROR(__xludf.DUMMYFUNCTION("IF(query(Data!A:M,CONCATENATE(""select Col13 where Col1 = '"",C40,""' and Col8 = 'Labour Protection and Right to Work'""),0)&gt;70,1,0)"),"#REF!")</f>
        <v>#REF!</v>
      </c>
      <c r="Z40" s="34" t="str">
        <f>IFERROR(__xludf.DUMMYFUNCTION("IF(query(Data!A:M,CONCATENATE(""select Col13 where Col1 = '"",C40,""' and Col8 = 'Safety, Accuracy and Reliability'""),0)&gt;70,1,0)"),"#REF!")</f>
        <v>#REF!</v>
      </c>
      <c r="AA40" s="34" t="str">
        <f>IFERROR(__xludf.DUMMYFUNCTION("IF(query(Data!A:M,CONCATENATE(""select Col13 where Col1 = '"",C40,""' and Col8 = 'Transparency and Explainability'""),0)&gt;70,1,0)"),"#REF!")</f>
        <v>#REF!</v>
      </c>
      <c r="AB40" s="35">
        <f t="shared" si="2"/>
        <v>0</v>
      </c>
      <c r="AC40" s="35">
        <f t="shared" si="3"/>
        <v>0</v>
      </c>
      <c r="AD40" s="35">
        <f t="shared" si="4"/>
        <v>0</v>
      </c>
      <c r="AE40" s="35">
        <f t="shared" si="5"/>
        <v>0</v>
      </c>
      <c r="AF40" s="35">
        <f t="shared" si="6"/>
        <v>0</v>
      </c>
      <c r="AG40" s="35" t="str">
        <f t="shared" si="7"/>
        <v>No</v>
      </c>
      <c r="AH40" s="35" t="str">
        <f>IFERROR(__xludf.DUMMYFUNCTION("IFERROR(query(query(Data!A:BS,CONCATENATE(""select Col50, count(Col49) where Col1 = '"",C40,""' group by Col50"")), CONCATENATE(""select Col1 where Col2 = "",query(query(query(Data!A:BS,CONCATENATE(""select Col50, count(Col49) where Col1 = '"",C40,""' and"&amp;" Col50 &lt;&gt; 'Other' and Col50 is not null group by Col50"")),""select max(Col2)"",0),""Select *"",0),"" limit 1""),0))"),"")</f>
        <v/>
      </c>
      <c r="AI40" s="35" t="str">
        <f t="shared" si="8"/>
        <v/>
      </c>
      <c r="AJ40" s="35" t="str">
        <f t="shared" si="9"/>
        <v>No</v>
      </c>
      <c r="AK40" s="35" t="str">
        <f>IFERROR(__xludf.DUMMYFUNCTION("IFERROR(query(query(Data!A:BS,CONCATENATE(""select Col70, count(Col69) where Col1 = '"",C40,""' group by Col70"")), CONCATENATE(""select Col1 where Col2 = "",query(query(query(Data!A:BS,CONCATENATE(""select Col70, count(Col69) where Col1 = '"",C40,""' and"&amp;" Col70 &lt;&gt; 'Other' and Col70 is not null group by Col70"")),""select max(Col2)"",0),""Select *"",0),"" limit 1""),0))"),"")</f>
        <v/>
      </c>
      <c r="AL40" s="35" t="str">
        <f t="shared" si="10"/>
        <v/>
      </c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>
      <c r="A41" s="25">
        <v>17.0</v>
      </c>
      <c r="B41" s="26" t="s">
        <v>167</v>
      </c>
      <c r="C41" s="27" t="s">
        <v>168</v>
      </c>
      <c r="D41" s="28" t="s">
        <v>169</v>
      </c>
      <c r="E41" s="28" t="s">
        <v>69</v>
      </c>
      <c r="F41" s="28" t="s">
        <v>47</v>
      </c>
      <c r="G41" s="28" t="s">
        <v>70</v>
      </c>
      <c r="H41" s="29">
        <v>44.658680197732494</v>
      </c>
      <c r="I41" s="30">
        <v>46.401232184025275</v>
      </c>
      <c r="J41" s="30">
        <v>55.623757783990165</v>
      </c>
      <c r="K41" s="30">
        <v>19.243421052631575</v>
      </c>
      <c r="L41" s="31">
        <v>40.58485714285714</v>
      </c>
      <c r="M41" s="31">
        <v>45.663888888888884</v>
      </c>
      <c r="N41" s="31">
        <v>51.149</v>
      </c>
      <c r="O41" s="32" t="s">
        <v>59</v>
      </c>
      <c r="P41" s="32" t="s">
        <v>59</v>
      </c>
      <c r="Q41" s="32" t="s">
        <v>76</v>
      </c>
      <c r="R41" s="33" t="str">
        <f t="shared" si="1"/>
        <v>cap</v>
      </c>
      <c r="S41" s="34" t="str">
        <f>IFERROR(__xludf.DUMMYFUNCTION("IF(query(Data!A:M,CONCATENATE(""select Col13 where Col1 = '"",C41,""' and Col8 = 'Bias and Unfair Discrimination'""),0)&gt;70,1,0)"),"#REF!")</f>
        <v>#REF!</v>
      </c>
      <c r="T41" s="34" t="str">
        <f>IFERROR(__xludf.DUMMYFUNCTION("IF(query(Data!A:M,CONCATENATE(""select Col13 where Col1 = '"",C41,""' and Col8 = 'Childrens Rights'""),0)&gt;70,1,0)"),"#REF!")</f>
        <v>#REF!</v>
      </c>
      <c r="U41" s="34" t="str">
        <f>IFERROR(__xludf.DUMMYFUNCTION("IF(query(Data!A:M,CONCATENATE(""select Col13 where Col1 = '"",C41,""' and Col8 = 'Cultural and Linguistic Diversity'""),0)&gt;70,1,0)"),"#REF!")</f>
        <v>#REF!</v>
      </c>
      <c r="V41" s="34" t="str">
        <f>IFERROR(__xludf.DUMMYFUNCTION("IF(query(Data!A:M,CONCATENATE(""select Col13 where Col1 = '"",C41,""' and Col8 = 'Data Protection and Privacy'""),0)&gt;70,1,0)"),"#REF!")</f>
        <v>#REF!</v>
      </c>
      <c r="W41" s="34" t="str">
        <f>IFERROR(__xludf.DUMMYFUNCTION("IF(query(Data!A:M,CONCATENATE(""select Col13 where Col1 = '"",C41,""' and Col8 = 'Gender Equality'""),0)&gt;70,1,0)"),"#REF!")</f>
        <v>#REF!</v>
      </c>
      <c r="X41" s="34" t="str">
        <f>IFERROR(__xludf.DUMMYFUNCTION("IF(query(Data!A:M,CONCATENATE(""select Col13 where Col1 = '"",C41,""' and Col8 = 'Human Oversight and Determination'""),0)&gt;70,1,0)"),"#REF!")</f>
        <v>#REF!</v>
      </c>
      <c r="Y41" s="34" t="str">
        <f>IFERROR(__xludf.DUMMYFUNCTION("IF(query(Data!A:M,CONCATENATE(""select Col13 where Col1 = '"",C41,""' and Col8 = 'Labour Protection and Right to Work'""),0)&gt;70,1,0)"),"#REF!")</f>
        <v>#REF!</v>
      </c>
      <c r="Z41" s="34" t="str">
        <f>IFERROR(__xludf.DUMMYFUNCTION("IF(query(Data!A:M,CONCATENATE(""select Col13 where Col1 = '"",C41,""' and Col8 = 'Safety, Accuracy and Reliability'""),0)&gt;70,1,0)"),"#REF!")</f>
        <v>#REF!</v>
      </c>
      <c r="AA41" s="34" t="str">
        <f>IFERROR(__xludf.DUMMYFUNCTION("IF(query(Data!A:M,CONCATENATE(""select Col13 where Col1 = '"",C41,""' and Col8 = 'Transparency and Explainability'""),0)&gt;70,1,0)"),"#REF!")</f>
        <v>#REF!</v>
      </c>
      <c r="AB41" s="35">
        <f t="shared" si="2"/>
        <v>0</v>
      </c>
      <c r="AC41" s="35">
        <f t="shared" si="3"/>
        <v>0</v>
      </c>
      <c r="AD41" s="35">
        <f t="shared" si="4"/>
        <v>0</v>
      </c>
      <c r="AE41" s="35">
        <f t="shared" si="5"/>
        <v>0</v>
      </c>
      <c r="AF41" s="35">
        <f t="shared" si="6"/>
        <v>0</v>
      </c>
      <c r="AG41" s="35" t="str">
        <f t="shared" si="7"/>
        <v>No</v>
      </c>
      <c r="AH41" s="35" t="str">
        <f>IFERROR(__xludf.DUMMYFUNCTION("IFERROR(query(query(Data!A:BS,CONCATENATE(""select Col50, count(Col49) where Col1 = '"",C41,""' group by Col50"")), CONCATENATE(""select Col1 where Col2 = "",query(query(query(Data!A:BS,CONCATENATE(""select Col50, count(Col49) where Col1 = '"",C41,""' and"&amp;" Col50 &lt;&gt; 'Other' and Col50 is not null group by Col50"")),""select max(Col2)"",0),""Select *"",0),"" limit 1""),0))"),"")</f>
        <v/>
      </c>
      <c r="AI41" s="35" t="str">
        <f t="shared" si="8"/>
        <v/>
      </c>
      <c r="AJ41" s="35" t="str">
        <f t="shared" si="9"/>
        <v>No</v>
      </c>
      <c r="AK41" s="35" t="str">
        <f>IFERROR(__xludf.DUMMYFUNCTION("IFERROR(query(query(Data!A:BS,CONCATENATE(""select Col70, count(Col69) where Col1 = '"",C41,""' group by Col70"")), CONCATENATE(""select Col1 where Col2 = "",query(query(query(Data!A:BS,CONCATENATE(""select Col70, count(Col69) where Col1 = '"",C41,""' and"&amp;" Col70 &lt;&gt; 'Other' and Col70 is not null group by Col70"")),""select max(Col2)"",0),""Select *"",0),"" limit 1""),0))"),"")</f>
        <v/>
      </c>
      <c r="AL41" s="35" t="str">
        <f t="shared" si="10"/>
        <v/>
      </c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>
      <c r="A42" s="25">
        <v>137.0</v>
      </c>
      <c r="B42" s="26" t="s">
        <v>170</v>
      </c>
      <c r="C42" s="27" t="s">
        <v>171</v>
      </c>
      <c r="D42" s="28" t="s">
        <v>171</v>
      </c>
      <c r="E42" s="28" t="s">
        <v>74</v>
      </c>
      <c r="F42" s="28" t="s">
        <v>74</v>
      </c>
      <c r="G42" s="28" t="s">
        <v>106</v>
      </c>
      <c r="H42" s="29">
        <v>0.5574726876459625</v>
      </c>
      <c r="I42" s="30">
        <v>0.0</v>
      </c>
      <c r="J42" s="30">
        <v>1.393681719114906</v>
      </c>
      <c r="K42" s="30">
        <v>0.0</v>
      </c>
      <c r="L42" s="31">
        <v>0.0</v>
      </c>
      <c r="M42" s="31">
        <v>0.0</v>
      </c>
      <c r="N42" s="31">
        <v>3.530666666666667</v>
      </c>
      <c r="O42" s="32" t="s">
        <v>49</v>
      </c>
      <c r="P42" s="32" t="s">
        <v>49</v>
      </c>
      <c r="Q42" s="32" t="s">
        <v>49</v>
      </c>
      <c r="R42" s="33" t="str">
        <f t="shared" si="1"/>
        <v>cap</v>
      </c>
      <c r="S42" s="34" t="str">
        <f>IFERROR(__xludf.DUMMYFUNCTION("IF(query(Data!A:M,CONCATENATE(""select Col13 where Col1 = '"",C42,""' and Col8 = 'Bias and Unfair Discrimination'""),0)&gt;70,1,0)"),"#REF!")</f>
        <v>#REF!</v>
      </c>
      <c r="T42" s="34" t="str">
        <f>IFERROR(__xludf.DUMMYFUNCTION("IF(query(Data!A:M,CONCATENATE(""select Col13 where Col1 = '"",C42,""' and Col8 = 'Childrens Rights'""),0)&gt;70,1,0)"),"#REF!")</f>
        <v>#REF!</v>
      </c>
      <c r="U42" s="34" t="str">
        <f>IFERROR(__xludf.DUMMYFUNCTION("IF(query(Data!A:M,CONCATENATE(""select Col13 where Col1 = '"",C42,""' and Col8 = 'Cultural and Linguistic Diversity'""),0)&gt;70,1,0)"),"#REF!")</f>
        <v>#REF!</v>
      </c>
      <c r="V42" s="34" t="str">
        <f>IFERROR(__xludf.DUMMYFUNCTION("IF(query(Data!A:M,CONCATENATE(""select Col13 where Col1 = '"",C42,""' and Col8 = 'Data Protection and Privacy'""),0)&gt;70,1,0)"),"#REF!")</f>
        <v>#REF!</v>
      </c>
      <c r="W42" s="34" t="str">
        <f>IFERROR(__xludf.DUMMYFUNCTION("IF(query(Data!A:M,CONCATENATE(""select Col13 where Col1 = '"",C42,""' and Col8 = 'Gender Equality'""),0)&gt;70,1,0)"),"#REF!")</f>
        <v>#REF!</v>
      </c>
      <c r="X42" s="34" t="str">
        <f>IFERROR(__xludf.DUMMYFUNCTION("IF(query(Data!A:M,CONCATENATE(""select Col13 where Col1 = '"",C42,""' and Col8 = 'Human Oversight and Determination'""),0)&gt;70,1,0)"),"#REF!")</f>
        <v>#REF!</v>
      </c>
      <c r="Y42" s="34" t="str">
        <f>IFERROR(__xludf.DUMMYFUNCTION("IF(query(Data!A:M,CONCATENATE(""select Col13 where Col1 = '"",C42,""' and Col8 = 'Labour Protection and Right to Work'""),0)&gt;70,1,0)"),"#REF!")</f>
        <v>#REF!</v>
      </c>
      <c r="Z42" s="34" t="str">
        <f>IFERROR(__xludf.DUMMYFUNCTION("IF(query(Data!A:M,CONCATENATE(""select Col13 where Col1 = '"",C42,""' and Col8 = 'Safety, Accuracy and Reliability'""),0)&gt;70,1,0)"),"#REF!")</f>
        <v>#REF!</v>
      </c>
      <c r="AA42" s="34" t="str">
        <f>IFERROR(__xludf.DUMMYFUNCTION("IF(query(Data!A:M,CONCATENATE(""select Col13 where Col1 = '"",C42,""' and Col8 = 'Transparency and Explainability'""),0)&gt;70,1,0)"),"#REF!")</f>
        <v>#REF!</v>
      </c>
      <c r="AB42" s="35">
        <f t="shared" si="2"/>
        <v>0</v>
      </c>
      <c r="AC42" s="35">
        <f t="shared" si="3"/>
        <v>0</v>
      </c>
      <c r="AD42" s="35">
        <f t="shared" si="4"/>
        <v>0</v>
      </c>
      <c r="AE42" s="35">
        <f t="shared" si="5"/>
        <v>0</v>
      </c>
      <c r="AF42" s="35">
        <f t="shared" si="6"/>
        <v>0</v>
      </c>
      <c r="AG42" s="35" t="str">
        <f t="shared" si="7"/>
        <v>No</v>
      </c>
      <c r="AH42" s="35" t="str">
        <f>IFERROR(__xludf.DUMMYFUNCTION("IFERROR(query(query(Data!A:BS,CONCATENATE(""select Col50, count(Col49) where Col1 = '"",C42,""' group by Col50"")), CONCATENATE(""select Col1 where Col2 = "",query(query(query(Data!A:BS,CONCATENATE(""select Col50, count(Col49) where Col1 = '"",C42,""' and"&amp;" Col50 &lt;&gt; 'Other' and Col50 is not null group by Col50"")),""select max(Col2)"",0),""Select *"",0),"" limit 1""),0))"),"")</f>
        <v/>
      </c>
      <c r="AI42" s="35" t="str">
        <f t="shared" si="8"/>
        <v/>
      </c>
      <c r="AJ42" s="35" t="str">
        <f t="shared" si="9"/>
        <v>No</v>
      </c>
      <c r="AK42" s="35" t="str">
        <f>IFERROR(__xludf.DUMMYFUNCTION("IFERROR(query(query(Data!A:BS,CONCATENATE(""select Col70, count(Col69) where Col1 = '"",C42,""' group by Col70"")), CONCATENATE(""select Col1 where Col2 = "",query(query(query(Data!A:BS,CONCATENATE(""select Col70, count(Col69) where Col1 = '"",C42,""' and"&amp;" Col70 &lt;&gt; 'Other' and Col70 is not null group by Col70"")),""select max(Col2)"",0),""Select *"",0),"" limit 1""),0))"),"")</f>
        <v/>
      </c>
      <c r="AL42" s="35" t="str">
        <f t="shared" si="10"/>
        <v/>
      </c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>
      <c r="A43" s="25">
        <v>35.0</v>
      </c>
      <c r="B43" s="26" t="s">
        <v>172</v>
      </c>
      <c r="C43" s="27" t="s">
        <v>173</v>
      </c>
      <c r="D43" s="28" t="s">
        <v>174</v>
      </c>
      <c r="E43" s="28" t="s">
        <v>52</v>
      </c>
      <c r="F43" s="28" t="s">
        <v>52</v>
      </c>
      <c r="G43" s="28" t="s">
        <v>110</v>
      </c>
      <c r="H43" s="29">
        <v>33.171704603496345</v>
      </c>
      <c r="I43" s="30">
        <v>47.83184459753203</v>
      </c>
      <c r="J43" s="30">
        <v>18.821375244542168</v>
      </c>
      <c r="K43" s="30">
        <v>32.552083333333314</v>
      </c>
      <c r="L43" s="31">
        <v>25.871285714285715</v>
      </c>
      <c r="M43" s="31">
        <v>41.717333333333336</v>
      </c>
      <c r="N43" s="31">
        <v>24.56833333333333</v>
      </c>
      <c r="O43" s="32" t="s">
        <v>54</v>
      </c>
      <c r="P43" s="32" t="s">
        <v>54</v>
      </c>
      <c r="Q43" s="32" t="s">
        <v>59</v>
      </c>
      <c r="R43" s="33" t="str">
        <f t="shared" si="1"/>
        <v>gob</v>
      </c>
      <c r="S43" s="34" t="str">
        <f>IFERROR(__xludf.DUMMYFUNCTION("IF(query(Data!A:M,CONCATENATE(""select Col13 where Col1 = '"",C43,""' and Col8 = 'Bias and Unfair Discrimination'""),0)&gt;70,1,0)"),"#REF!")</f>
        <v>#REF!</v>
      </c>
      <c r="T43" s="34" t="str">
        <f>IFERROR(__xludf.DUMMYFUNCTION("IF(query(Data!A:M,CONCATENATE(""select Col13 where Col1 = '"",C43,""' and Col8 = 'Childrens Rights'""),0)&gt;70,1,0)"),"#REF!")</f>
        <v>#REF!</v>
      </c>
      <c r="U43" s="34" t="str">
        <f>IFERROR(__xludf.DUMMYFUNCTION("IF(query(Data!A:M,CONCATENATE(""select Col13 where Col1 = '"",C43,""' and Col8 = 'Cultural and Linguistic Diversity'""),0)&gt;70,1,0)"),"#REF!")</f>
        <v>#REF!</v>
      </c>
      <c r="V43" s="34" t="str">
        <f>IFERROR(__xludf.DUMMYFUNCTION("IF(query(Data!A:M,CONCATENATE(""select Col13 where Col1 = '"",C43,""' and Col8 = 'Data Protection and Privacy'""),0)&gt;70,1,0)"),"#REF!")</f>
        <v>#REF!</v>
      </c>
      <c r="W43" s="34" t="str">
        <f>IFERROR(__xludf.DUMMYFUNCTION("IF(query(Data!A:M,CONCATENATE(""select Col13 where Col1 = '"",C43,""' and Col8 = 'Gender Equality'""),0)&gt;70,1,0)"),"#REF!")</f>
        <v>#REF!</v>
      </c>
      <c r="X43" s="34" t="str">
        <f>IFERROR(__xludf.DUMMYFUNCTION("IF(query(Data!A:M,CONCATENATE(""select Col13 where Col1 = '"",C43,""' and Col8 = 'Human Oversight and Determination'""),0)&gt;70,1,0)"),"#REF!")</f>
        <v>#REF!</v>
      </c>
      <c r="Y43" s="34" t="str">
        <f>IFERROR(__xludf.DUMMYFUNCTION("IF(query(Data!A:M,CONCATENATE(""select Col13 where Col1 = '"",C43,""' and Col8 = 'Labour Protection and Right to Work'""),0)&gt;70,1,0)"),"#REF!")</f>
        <v>#REF!</v>
      </c>
      <c r="Z43" s="34" t="str">
        <f>IFERROR(__xludf.DUMMYFUNCTION("IF(query(Data!A:M,CONCATENATE(""select Col13 where Col1 = '"",C43,""' and Col8 = 'Safety, Accuracy and Reliability'""),0)&gt;70,1,0)"),"#REF!")</f>
        <v>#REF!</v>
      </c>
      <c r="AA43" s="34" t="str">
        <f>IFERROR(__xludf.DUMMYFUNCTION("IF(query(Data!A:M,CONCATENATE(""select Col13 where Col1 = '"",C43,""' and Col8 = 'Transparency and Explainability'""),0)&gt;70,1,0)"),"#REF!")</f>
        <v>#REF!</v>
      </c>
      <c r="AB43" s="35">
        <f t="shared" si="2"/>
        <v>0</v>
      </c>
      <c r="AC43" s="35">
        <f t="shared" si="3"/>
        <v>0</v>
      </c>
      <c r="AD43" s="35">
        <f t="shared" si="4"/>
        <v>0</v>
      </c>
      <c r="AE43" s="35">
        <f t="shared" si="5"/>
        <v>0</v>
      </c>
      <c r="AF43" s="35">
        <f t="shared" si="6"/>
        <v>0</v>
      </c>
      <c r="AG43" s="35" t="str">
        <f t="shared" si="7"/>
        <v>No</v>
      </c>
      <c r="AH43" s="35" t="str">
        <f>IFERROR(__xludf.DUMMYFUNCTION("IFERROR(query(query(Data!A:BS,CONCATENATE(""select Col50, count(Col49) where Col1 = '"",C43,""' group by Col50"")), CONCATENATE(""select Col1 where Col2 = "",query(query(query(Data!A:BS,CONCATENATE(""select Col50, count(Col49) where Col1 = '"",C43,""' and"&amp;" Col50 &lt;&gt; 'Other' and Col50 is not null group by Col50"")),""select max(Col2)"",0),""Select *"",0),"" limit 1""),0))"),"")</f>
        <v/>
      </c>
      <c r="AI43" s="35" t="str">
        <f t="shared" si="8"/>
        <v/>
      </c>
      <c r="AJ43" s="35" t="str">
        <f t="shared" si="9"/>
        <v>No</v>
      </c>
      <c r="AK43" s="35" t="str">
        <f>IFERROR(__xludf.DUMMYFUNCTION("IFERROR(query(query(Data!A:BS,CONCATENATE(""select Col70, count(Col69) where Col1 = '"",C43,""' group by Col70"")), CONCATENATE(""select Col1 where Col2 = "",query(query(query(Data!A:BS,CONCATENATE(""select Col70, count(Col69) where Col1 = '"",C43,""' and"&amp;" Col70 &lt;&gt; 'Other' and Col70 is not null group by Col70"")),""select max(Col2)"",0),""Select *"",0),"" limit 1""),0))"),"")</f>
        <v/>
      </c>
      <c r="AL43" s="35" t="str">
        <f t="shared" si="10"/>
        <v/>
      </c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>
      <c r="A44" s="25">
        <v>13.0</v>
      </c>
      <c r="B44" s="26" t="s">
        <v>175</v>
      </c>
      <c r="C44" s="27" t="s">
        <v>176</v>
      </c>
      <c r="D44" s="28" t="s">
        <v>177</v>
      </c>
      <c r="E44" s="28" t="s">
        <v>52</v>
      </c>
      <c r="F44" s="28" t="s">
        <v>52</v>
      </c>
      <c r="G44" s="28" t="s">
        <v>53</v>
      </c>
      <c r="H44" s="29">
        <v>49.5778515076219</v>
      </c>
      <c r="I44" s="30">
        <v>68.89171774345532</v>
      </c>
      <c r="J44" s="30">
        <v>39.633503130862586</v>
      </c>
      <c r="K44" s="30">
        <v>30.838815789473685</v>
      </c>
      <c r="L44" s="31">
        <v>51.97428571428571</v>
      </c>
      <c r="M44" s="31">
        <v>47.12233333333333</v>
      </c>
      <c r="N44" s="31">
        <v>51.35333333333333</v>
      </c>
      <c r="O44" s="32" t="s">
        <v>54</v>
      </c>
      <c r="P44" s="32" t="s">
        <v>54</v>
      </c>
      <c r="Q44" s="32" t="s">
        <v>59</v>
      </c>
      <c r="R44" s="33" t="str">
        <f t="shared" si="1"/>
        <v>ddhh</v>
      </c>
      <c r="S44" s="34" t="str">
        <f>IFERROR(__xludf.DUMMYFUNCTION("IF(query(Data!A:M,CONCATENATE(""select Col13 where Col1 = '"",C44,""' and Col8 = 'Bias and Unfair Discrimination'""),0)&gt;70,1,0)"),"#REF!")</f>
        <v>#REF!</v>
      </c>
      <c r="T44" s="34" t="str">
        <f>IFERROR(__xludf.DUMMYFUNCTION("IF(query(Data!A:M,CONCATENATE(""select Col13 where Col1 = '"",C44,""' and Col8 = 'Childrens Rights'""),0)&gt;70,1,0)"),"#REF!")</f>
        <v>#REF!</v>
      </c>
      <c r="U44" s="34" t="str">
        <f>IFERROR(__xludf.DUMMYFUNCTION("IF(query(Data!A:M,CONCATENATE(""select Col13 where Col1 = '"",C44,""' and Col8 = 'Cultural and Linguistic Diversity'""),0)&gt;70,1,0)"),"#REF!")</f>
        <v>#REF!</v>
      </c>
      <c r="V44" s="34" t="str">
        <f>IFERROR(__xludf.DUMMYFUNCTION("IF(query(Data!A:M,CONCATENATE(""select Col13 where Col1 = '"",C44,""' and Col8 = 'Data Protection and Privacy'""),0)&gt;70,1,0)"),"#REF!")</f>
        <v>#REF!</v>
      </c>
      <c r="W44" s="34" t="str">
        <f>IFERROR(__xludf.DUMMYFUNCTION("IF(query(Data!A:M,CONCATENATE(""select Col13 where Col1 = '"",C44,""' and Col8 = 'Gender Equality'""),0)&gt;70,1,0)"),"#REF!")</f>
        <v>#REF!</v>
      </c>
      <c r="X44" s="34" t="str">
        <f>IFERROR(__xludf.DUMMYFUNCTION("IF(query(Data!A:M,CONCATENATE(""select Col13 where Col1 = '"",C44,""' and Col8 = 'Human Oversight and Determination'""),0)&gt;70,1,0)"),"#REF!")</f>
        <v>#REF!</v>
      </c>
      <c r="Y44" s="34" t="str">
        <f>IFERROR(__xludf.DUMMYFUNCTION("IF(query(Data!A:M,CONCATENATE(""select Col13 where Col1 = '"",C44,""' and Col8 = 'Labour Protection and Right to Work'""),0)&gt;70,1,0)"),"#REF!")</f>
        <v>#REF!</v>
      </c>
      <c r="Z44" s="34" t="str">
        <f>IFERROR(__xludf.DUMMYFUNCTION("IF(query(Data!A:M,CONCATENATE(""select Col13 where Col1 = '"",C44,""' and Col8 = 'Safety, Accuracy and Reliability'""),0)&gt;70,1,0)"),"#REF!")</f>
        <v>#REF!</v>
      </c>
      <c r="AA44" s="34" t="str">
        <f>IFERROR(__xludf.DUMMYFUNCTION("IF(query(Data!A:M,CONCATENATE(""select Col13 where Col1 = '"",C44,""' and Col8 = 'Transparency and Explainability'""),0)&gt;70,1,0)"),"#REF!")</f>
        <v>#REF!</v>
      </c>
      <c r="AB44" s="35">
        <f t="shared" si="2"/>
        <v>0</v>
      </c>
      <c r="AC44" s="35">
        <f t="shared" si="3"/>
        <v>0</v>
      </c>
      <c r="AD44" s="35">
        <f t="shared" si="4"/>
        <v>0</v>
      </c>
      <c r="AE44" s="35">
        <f t="shared" si="5"/>
        <v>0</v>
      </c>
      <c r="AF44" s="35">
        <f t="shared" si="6"/>
        <v>0</v>
      </c>
      <c r="AG44" s="35" t="str">
        <f t="shared" si="7"/>
        <v>No</v>
      </c>
      <c r="AH44" s="35" t="str">
        <f>IFERROR(__xludf.DUMMYFUNCTION("IFERROR(query(query(Data!A:BS,CONCATENATE(""select Col50, count(Col49) where Col1 = '"",C44,""' group by Col50"")), CONCATENATE(""select Col1 where Col2 = "",query(query(query(Data!A:BS,CONCATENATE(""select Col50, count(Col49) where Col1 = '"",C44,""' and"&amp;" Col50 &lt;&gt; 'Other' and Col50 is not null group by Col50"")),""select max(Col2)"",0),""Select *"",0),"" limit 1""),0))"),"")</f>
        <v/>
      </c>
      <c r="AI44" s="35" t="str">
        <f t="shared" si="8"/>
        <v/>
      </c>
      <c r="AJ44" s="35" t="str">
        <f t="shared" si="9"/>
        <v>No</v>
      </c>
      <c r="AK44" s="35" t="str">
        <f>IFERROR(__xludf.DUMMYFUNCTION("IFERROR(query(query(Data!A:BS,CONCATENATE(""select Col70, count(Col69) where Col1 = '"",C44,""' group by Col70"")), CONCATENATE(""select Col1 where Col2 = "",query(query(query(Data!A:BS,CONCATENATE(""select Col70, count(Col69) where Col1 = '"",C44,""' and"&amp;" Col70 &lt;&gt; 'Other' and Col70 is not null group by Col70"")),""select max(Col2)"",0),""Select *"",0),"" limit 1""),0))"),"")</f>
        <v/>
      </c>
      <c r="AL44" s="35" t="str">
        <f t="shared" si="10"/>
        <v/>
      </c>
      <c r="AM44" s="35"/>
      <c r="AN44" s="35"/>
      <c r="AO44" s="35"/>
      <c r="AP44" s="35"/>
      <c r="AQ44" s="35"/>
      <c r="AR44" s="35"/>
      <c r="AS44" s="35"/>
      <c r="AT44" s="35"/>
      <c r="AU44" s="35"/>
      <c r="AV44" s="35"/>
    </row>
    <row r="45">
      <c r="A45" s="25">
        <v>16.0</v>
      </c>
      <c r="B45" s="26" t="s">
        <v>178</v>
      </c>
      <c r="C45" s="27" t="s">
        <v>179</v>
      </c>
      <c r="D45" s="28" t="s">
        <v>180</v>
      </c>
      <c r="E45" s="28" t="s">
        <v>52</v>
      </c>
      <c r="F45" s="28" t="s">
        <v>52</v>
      </c>
      <c r="G45" s="28" t="s">
        <v>53</v>
      </c>
      <c r="H45" s="29">
        <v>45.07824382045813</v>
      </c>
      <c r="I45" s="30">
        <v>68.01659241057278</v>
      </c>
      <c r="J45" s="30">
        <v>33.357745210747964</v>
      </c>
      <c r="K45" s="30">
        <v>22.642543859649123</v>
      </c>
      <c r="L45" s="31">
        <v>47.58714285714286</v>
      </c>
      <c r="M45" s="31">
        <v>41.82111111111111</v>
      </c>
      <c r="N45" s="31">
        <v>48.99466666666667</v>
      </c>
      <c r="O45" s="32" t="s">
        <v>54</v>
      </c>
      <c r="P45" s="32" t="s">
        <v>54</v>
      </c>
      <c r="Q45" s="32" t="s">
        <v>59</v>
      </c>
      <c r="R45" s="33" t="str">
        <f t="shared" si="1"/>
        <v>cap</v>
      </c>
      <c r="S45" s="34" t="str">
        <f>IFERROR(__xludf.DUMMYFUNCTION("IF(query(Data!A:M,CONCATENATE(""select Col13 where Col1 = '"",C45,""' and Col8 = 'Bias and Unfair Discrimination'""),0)&gt;70,1,0)"),"#REF!")</f>
        <v>#REF!</v>
      </c>
      <c r="T45" s="34" t="str">
        <f>IFERROR(__xludf.DUMMYFUNCTION("IF(query(Data!A:M,CONCATENATE(""select Col13 where Col1 = '"",C45,""' and Col8 = 'Childrens Rights'""),0)&gt;70,1,0)"),"#REF!")</f>
        <v>#REF!</v>
      </c>
      <c r="U45" s="34" t="str">
        <f>IFERROR(__xludf.DUMMYFUNCTION("IF(query(Data!A:M,CONCATENATE(""select Col13 where Col1 = '"",C45,""' and Col8 = 'Cultural and Linguistic Diversity'""),0)&gt;70,1,0)"),"#REF!")</f>
        <v>#REF!</v>
      </c>
      <c r="V45" s="34" t="str">
        <f>IFERROR(__xludf.DUMMYFUNCTION("IF(query(Data!A:M,CONCATENATE(""select Col13 where Col1 = '"",C45,""' and Col8 = 'Data Protection and Privacy'""),0)&gt;70,1,0)"),"#REF!")</f>
        <v>#REF!</v>
      </c>
      <c r="W45" s="34" t="str">
        <f>IFERROR(__xludf.DUMMYFUNCTION("IF(query(Data!A:M,CONCATENATE(""select Col13 where Col1 = '"",C45,""' and Col8 = 'Gender Equality'""),0)&gt;70,1,0)"),"#REF!")</f>
        <v>#REF!</v>
      </c>
      <c r="X45" s="34" t="str">
        <f>IFERROR(__xludf.DUMMYFUNCTION("IF(query(Data!A:M,CONCATENATE(""select Col13 where Col1 = '"",C45,""' and Col8 = 'Human Oversight and Determination'""),0)&gt;70,1,0)"),"#REF!")</f>
        <v>#REF!</v>
      </c>
      <c r="Y45" s="34" t="str">
        <f>IFERROR(__xludf.DUMMYFUNCTION("IF(query(Data!A:M,CONCATENATE(""select Col13 where Col1 = '"",C45,""' and Col8 = 'Labour Protection and Right to Work'""),0)&gt;70,1,0)"),"#REF!")</f>
        <v>#REF!</v>
      </c>
      <c r="Z45" s="34" t="str">
        <f>IFERROR(__xludf.DUMMYFUNCTION("IF(query(Data!A:M,CONCATENATE(""select Col13 where Col1 = '"",C45,""' and Col8 = 'Safety, Accuracy and Reliability'""),0)&gt;70,1,0)"),"#REF!")</f>
        <v>#REF!</v>
      </c>
      <c r="AA45" s="34" t="str">
        <f>IFERROR(__xludf.DUMMYFUNCTION("IF(query(Data!A:M,CONCATENATE(""select Col13 where Col1 = '"",C45,""' and Col8 = 'Transparency and Explainability'""),0)&gt;70,1,0)"),"#REF!")</f>
        <v>#REF!</v>
      </c>
      <c r="AB45" s="35">
        <f t="shared" si="2"/>
        <v>0</v>
      </c>
      <c r="AC45" s="35">
        <f t="shared" si="3"/>
        <v>0</v>
      </c>
      <c r="AD45" s="35">
        <f t="shared" si="4"/>
        <v>0</v>
      </c>
      <c r="AE45" s="35">
        <f t="shared" si="5"/>
        <v>0</v>
      </c>
      <c r="AF45" s="35">
        <f t="shared" si="6"/>
        <v>0</v>
      </c>
      <c r="AG45" s="35" t="str">
        <f t="shared" si="7"/>
        <v>No</v>
      </c>
      <c r="AH45" s="35" t="str">
        <f>IFERROR(__xludf.DUMMYFUNCTION("IFERROR(query(query(Data!A:BS,CONCATENATE(""select Col50, count(Col49) where Col1 = '"",C45,""' group by Col50"")), CONCATENATE(""select Col1 where Col2 = "",query(query(query(Data!A:BS,CONCATENATE(""select Col50, count(Col49) where Col1 = '"",C45,""' and"&amp;" Col50 &lt;&gt; 'Other' and Col50 is not null group by Col50"")),""select max(Col2)"",0),""Select *"",0),"" limit 1""),0))"),"")</f>
        <v/>
      </c>
      <c r="AI45" s="35" t="str">
        <f t="shared" si="8"/>
        <v/>
      </c>
      <c r="AJ45" s="35" t="str">
        <f t="shared" si="9"/>
        <v>No</v>
      </c>
      <c r="AK45" s="35" t="str">
        <f>IFERROR(__xludf.DUMMYFUNCTION("IFERROR(query(query(Data!A:BS,CONCATENATE(""select Col70, count(Col69) where Col1 = '"",C45,""' group by Col70"")), CONCATENATE(""select Col1 where Col2 = "",query(query(query(Data!A:BS,CONCATENATE(""select Col70, count(Col69) where Col1 = '"",C45,""' and"&amp;" Col70 &lt;&gt; 'Other' and Col70 is not null group by Col70"")),""select max(Col2)"",0),""Select *"",0),"" limit 1""),0))"),"")</f>
        <v/>
      </c>
      <c r="AL45" s="35" t="str">
        <f t="shared" si="10"/>
        <v/>
      </c>
      <c r="AM45" s="35"/>
      <c r="AN45" s="35"/>
      <c r="AO45" s="35"/>
      <c r="AP45" s="35"/>
      <c r="AQ45" s="35"/>
      <c r="AR45" s="35"/>
      <c r="AS45" s="35"/>
      <c r="AT45" s="35"/>
      <c r="AU45" s="35"/>
      <c r="AV45" s="35"/>
    </row>
    <row r="46">
      <c r="A46" s="25">
        <v>5.0</v>
      </c>
      <c r="B46" s="26" t="s">
        <v>181</v>
      </c>
      <c r="C46" s="27" t="s">
        <v>182</v>
      </c>
      <c r="D46" s="28" t="s">
        <v>183</v>
      </c>
      <c r="E46" s="28" t="s">
        <v>139</v>
      </c>
      <c r="F46" s="28" t="s">
        <v>64</v>
      </c>
      <c r="G46" s="28" t="s">
        <v>139</v>
      </c>
      <c r="H46" s="29">
        <v>72.81032757006193</v>
      </c>
      <c r="I46" s="30">
        <v>62.40638418364943</v>
      </c>
      <c r="J46" s="30">
        <v>79.18632070641767</v>
      </c>
      <c r="K46" s="30">
        <v>80.86622807017542</v>
      </c>
      <c r="L46" s="31">
        <v>65.37242857142859</v>
      </c>
      <c r="M46" s="31">
        <v>74.75244444444445</v>
      </c>
      <c r="N46" s="31">
        <v>84.33866666666667</v>
      </c>
      <c r="O46" s="32" t="s">
        <v>59</v>
      </c>
      <c r="P46" s="32" t="s">
        <v>59</v>
      </c>
      <c r="Q46" s="32" t="s">
        <v>59</v>
      </c>
      <c r="R46" s="33" t="str">
        <f t="shared" si="1"/>
        <v>cap</v>
      </c>
      <c r="S46" s="34" t="str">
        <f>IFERROR(__xludf.DUMMYFUNCTION("IF(query(Data!A:M,CONCATENATE(""select Col13 where Col1 = '"",C46,""' and Col8 = 'Bias and Unfair Discrimination'""),0)&gt;70,1,0)"),"#REF!")</f>
        <v>#REF!</v>
      </c>
      <c r="T46" s="34" t="str">
        <f>IFERROR(__xludf.DUMMYFUNCTION("IF(query(Data!A:M,CONCATENATE(""select Col13 where Col1 = '"",C46,""' and Col8 = 'Childrens Rights'""),0)&gt;70,1,0)"),"#REF!")</f>
        <v>#REF!</v>
      </c>
      <c r="U46" s="34" t="str">
        <f>IFERROR(__xludf.DUMMYFUNCTION("IF(query(Data!A:M,CONCATENATE(""select Col13 where Col1 = '"",C46,""' and Col8 = 'Cultural and Linguistic Diversity'""),0)&gt;70,1,0)"),"#REF!")</f>
        <v>#REF!</v>
      </c>
      <c r="V46" s="34" t="str">
        <f>IFERROR(__xludf.DUMMYFUNCTION("IF(query(Data!A:M,CONCATENATE(""select Col13 where Col1 = '"",C46,""' and Col8 = 'Data Protection and Privacy'""),0)&gt;70,1,0)"),"#REF!")</f>
        <v>#REF!</v>
      </c>
      <c r="W46" s="34" t="str">
        <f>IFERROR(__xludf.DUMMYFUNCTION("IF(query(Data!A:M,CONCATENATE(""select Col13 where Col1 = '"",C46,""' and Col8 = 'Gender Equality'""),0)&gt;70,1,0)"),"#REF!")</f>
        <v>#REF!</v>
      </c>
      <c r="X46" s="34" t="str">
        <f>IFERROR(__xludf.DUMMYFUNCTION("IF(query(Data!A:M,CONCATENATE(""select Col13 where Col1 = '"",C46,""' and Col8 = 'Human Oversight and Determination'""),0)&gt;70,1,0)"),"#REF!")</f>
        <v>#REF!</v>
      </c>
      <c r="Y46" s="34" t="str">
        <f>IFERROR(__xludf.DUMMYFUNCTION("IF(query(Data!A:M,CONCATENATE(""select Col13 where Col1 = '"",C46,""' and Col8 = 'Labour Protection and Right to Work'""),0)&gt;70,1,0)"),"#REF!")</f>
        <v>#REF!</v>
      </c>
      <c r="Z46" s="34" t="str">
        <f>IFERROR(__xludf.DUMMYFUNCTION("IF(query(Data!A:M,CONCATENATE(""select Col13 where Col1 = '"",C46,""' and Col8 = 'Safety, Accuracy and Reliability'""),0)&gt;70,1,0)"),"#REF!")</f>
        <v>#REF!</v>
      </c>
      <c r="AA46" s="34" t="str">
        <f>IFERROR(__xludf.DUMMYFUNCTION("IF(query(Data!A:M,CONCATENATE(""select Col13 where Col1 = '"",C46,""' and Col8 = 'Transparency and Explainability'""),0)&gt;70,1,0)"),"#REF!")</f>
        <v>#REF!</v>
      </c>
      <c r="AB46" s="35">
        <f t="shared" si="2"/>
        <v>0</v>
      </c>
      <c r="AC46" s="35">
        <f t="shared" si="3"/>
        <v>0</v>
      </c>
      <c r="AD46" s="35">
        <f t="shared" si="4"/>
        <v>0</v>
      </c>
      <c r="AE46" s="35">
        <f t="shared" si="5"/>
        <v>0</v>
      </c>
      <c r="AF46" s="35">
        <f t="shared" si="6"/>
        <v>0</v>
      </c>
      <c r="AG46" s="35" t="str">
        <f t="shared" si="7"/>
        <v>No</v>
      </c>
      <c r="AH46" s="35" t="str">
        <f>IFERROR(__xludf.DUMMYFUNCTION("IFERROR(query(query(Data!A:BS,CONCATENATE(""select Col50, count(Col49) where Col1 = '"",C46,""' group by Col50"")), CONCATENATE(""select Col1 where Col2 = "",query(query(query(Data!A:BS,CONCATENATE(""select Col50, count(Col49) where Col1 = '"",C46,""' and"&amp;" Col50 &lt;&gt; 'Other' and Col50 is not null group by Col50"")),""select max(Col2)"",0),""Select *"",0),"" limit 1""),0))"),"")</f>
        <v/>
      </c>
      <c r="AI46" s="35" t="str">
        <f t="shared" si="8"/>
        <v/>
      </c>
      <c r="AJ46" s="35" t="str">
        <f t="shared" si="9"/>
        <v>No</v>
      </c>
      <c r="AK46" s="35" t="str">
        <f>IFERROR(__xludf.DUMMYFUNCTION("IFERROR(query(query(Data!A:BS,CONCATENATE(""select Col70, count(Col69) where Col1 = '"",C46,""' group by Col70"")), CONCATENATE(""select Col1 where Col2 = "",query(query(query(Data!A:BS,CONCATENATE(""select Col70, count(Col69) where Col1 = '"",C46,""' and"&amp;" Col70 &lt;&gt; 'Other' and Col70 is not null group by Col70"")),""select max(Col2)"",0),""Select *"",0),"" limit 1""),0))"),"")</f>
        <v/>
      </c>
      <c r="AL46" s="35" t="str">
        <f t="shared" si="10"/>
        <v/>
      </c>
      <c r="AM46" s="35"/>
      <c r="AN46" s="35"/>
      <c r="AO46" s="35"/>
      <c r="AP46" s="35"/>
      <c r="AQ46" s="35"/>
      <c r="AR46" s="35"/>
      <c r="AS46" s="35"/>
      <c r="AT46" s="35"/>
      <c r="AU46" s="35"/>
      <c r="AV46" s="35"/>
    </row>
    <row r="47">
      <c r="A47" s="25">
        <v>6.0</v>
      </c>
      <c r="B47" s="26" t="s">
        <v>184</v>
      </c>
      <c r="C47" s="27" t="s">
        <v>185</v>
      </c>
      <c r="D47" s="28" t="s">
        <v>185</v>
      </c>
      <c r="E47" s="28" t="s">
        <v>52</v>
      </c>
      <c r="F47" s="28" t="s">
        <v>52</v>
      </c>
      <c r="G47" s="28" t="s">
        <v>186</v>
      </c>
      <c r="H47" s="29">
        <v>67.61308372296784</v>
      </c>
      <c r="I47" s="30">
        <v>65.58258926659299</v>
      </c>
      <c r="J47" s="30">
        <v>81.52029547942313</v>
      </c>
      <c r="K47" s="30">
        <v>43.859649122807</v>
      </c>
      <c r="L47" s="31">
        <v>65.847</v>
      </c>
      <c r="M47" s="31">
        <v>72.00977777777776</v>
      </c>
      <c r="N47" s="31">
        <v>58.54266666666666</v>
      </c>
      <c r="O47" s="32" t="s">
        <v>59</v>
      </c>
      <c r="P47" s="32" t="s">
        <v>59</v>
      </c>
      <c r="Q47" s="32" t="s">
        <v>59</v>
      </c>
      <c r="R47" s="33" t="str">
        <f t="shared" si="1"/>
        <v>gob</v>
      </c>
      <c r="S47" s="34" t="str">
        <f>IFERROR(__xludf.DUMMYFUNCTION("IF(query(Data!A:M,CONCATENATE(""select Col13 where Col1 = '"",C47,""' and Col8 = 'Bias and Unfair Discrimination'""),0)&gt;70,1,0)"),"#REF!")</f>
        <v>#REF!</v>
      </c>
      <c r="T47" s="34" t="str">
        <f>IFERROR(__xludf.DUMMYFUNCTION("IF(query(Data!A:M,CONCATENATE(""select Col13 where Col1 = '"",C47,""' and Col8 = 'Childrens Rights'""),0)&gt;70,1,0)"),"#REF!")</f>
        <v>#REF!</v>
      </c>
      <c r="U47" s="34" t="str">
        <f>IFERROR(__xludf.DUMMYFUNCTION("IF(query(Data!A:M,CONCATENATE(""select Col13 where Col1 = '"",C47,""' and Col8 = 'Cultural and Linguistic Diversity'""),0)&gt;70,1,0)"),"#REF!")</f>
        <v>#REF!</v>
      </c>
      <c r="V47" s="34" t="str">
        <f>IFERROR(__xludf.DUMMYFUNCTION("IF(query(Data!A:M,CONCATENATE(""select Col13 where Col1 = '"",C47,""' and Col8 = 'Data Protection and Privacy'""),0)&gt;70,1,0)"),"#REF!")</f>
        <v>#REF!</v>
      </c>
      <c r="W47" s="34" t="str">
        <f>IFERROR(__xludf.DUMMYFUNCTION("IF(query(Data!A:M,CONCATENATE(""select Col13 where Col1 = '"",C47,""' and Col8 = 'Gender Equality'""),0)&gt;70,1,0)"),"#REF!")</f>
        <v>#REF!</v>
      </c>
      <c r="X47" s="34" t="str">
        <f>IFERROR(__xludf.DUMMYFUNCTION("IF(query(Data!A:M,CONCATENATE(""select Col13 where Col1 = '"",C47,""' and Col8 = 'Human Oversight and Determination'""),0)&gt;70,1,0)"),"#REF!")</f>
        <v>#REF!</v>
      </c>
      <c r="Y47" s="34" t="str">
        <f>IFERROR(__xludf.DUMMYFUNCTION("IF(query(Data!A:M,CONCATENATE(""select Col13 where Col1 = '"",C47,""' and Col8 = 'Labour Protection and Right to Work'""),0)&gt;70,1,0)"),"#REF!")</f>
        <v>#REF!</v>
      </c>
      <c r="Z47" s="34" t="str">
        <f>IFERROR(__xludf.DUMMYFUNCTION("IF(query(Data!A:M,CONCATENATE(""select Col13 where Col1 = '"",C47,""' and Col8 = 'Safety, Accuracy and Reliability'""),0)&gt;70,1,0)"),"#REF!")</f>
        <v>#REF!</v>
      </c>
      <c r="AA47" s="34" t="str">
        <f>IFERROR(__xludf.DUMMYFUNCTION("IF(query(Data!A:M,CONCATENATE(""select Col13 where Col1 = '"",C47,""' and Col8 = 'Transparency and Explainability'""),0)&gt;70,1,0)"),"#REF!")</f>
        <v>#REF!</v>
      </c>
      <c r="AB47" s="35">
        <f t="shared" si="2"/>
        <v>0</v>
      </c>
      <c r="AC47" s="35">
        <f t="shared" si="3"/>
        <v>0</v>
      </c>
      <c r="AD47" s="35">
        <f t="shared" si="4"/>
        <v>0</v>
      </c>
      <c r="AE47" s="35">
        <f t="shared" si="5"/>
        <v>0</v>
      </c>
      <c r="AF47" s="35">
        <f t="shared" si="6"/>
        <v>0</v>
      </c>
      <c r="AG47" s="35" t="str">
        <f t="shared" si="7"/>
        <v>No</v>
      </c>
      <c r="AH47" s="35" t="str">
        <f>IFERROR(__xludf.DUMMYFUNCTION("IFERROR(query(query(Data!A:BS,CONCATENATE(""select Col50, count(Col49) where Col1 = '"",C47,""' group by Col50"")), CONCATENATE(""select Col1 where Col2 = "",query(query(query(Data!A:BS,CONCATENATE(""select Col50, count(Col49) where Col1 = '"",C47,""' and"&amp;" Col50 &lt;&gt; 'Other' and Col50 is not null group by Col50"")),""select max(Col2)"",0),""Select *"",0),"" limit 1""),0))"),"")</f>
        <v/>
      </c>
      <c r="AI47" s="35" t="str">
        <f t="shared" si="8"/>
        <v/>
      </c>
      <c r="AJ47" s="35" t="str">
        <f t="shared" si="9"/>
        <v>No</v>
      </c>
      <c r="AK47" s="35" t="str">
        <f>IFERROR(__xludf.DUMMYFUNCTION("IFERROR(query(query(Data!A:BS,CONCATENATE(""select Col70, count(Col69) where Col1 = '"",C47,""' group by Col70"")), CONCATENATE(""select Col1 where Col2 = "",query(query(query(Data!A:BS,CONCATENATE(""select Col70, count(Col69) where Col1 = '"",C47,""' and"&amp;" Col70 &lt;&gt; 'Other' and Col70 is not null group by Col70"")),""select max(Col2)"",0),""Select *"",0),"" limit 1""),0))"),"")</f>
        <v/>
      </c>
      <c r="AL47" s="35" t="str">
        <f t="shared" si="10"/>
        <v/>
      </c>
      <c r="AM47" s="35"/>
      <c r="AN47" s="35"/>
      <c r="AO47" s="35"/>
      <c r="AP47" s="35"/>
      <c r="AQ47" s="35"/>
      <c r="AR47" s="35"/>
      <c r="AS47" s="35"/>
      <c r="AT47" s="35"/>
      <c r="AU47" s="35"/>
      <c r="AV47" s="35"/>
    </row>
    <row r="48">
      <c r="A48" s="25">
        <v>87.0</v>
      </c>
      <c r="B48" s="26" t="s">
        <v>187</v>
      </c>
      <c r="C48" s="27" t="s">
        <v>188</v>
      </c>
      <c r="D48" s="28" t="s">
        <v>189</v>
      </c>
      <c r="E48" s="28" t="s">
        <v>74</v>
      </c>
      <c r="F48" s="28" t="s">
        <v>74</v>
      </c>
      <c r="G48" s="28" t="s">
        <v>106</v>
      </c>
      <c r="H48" s="29">
        <v>6.098146364145112</v>
      </c>
      <c r="I48" s="30">
        <v>0.0</v>
      </c>
      <c r="J48" s="30">
        <v>11.325409770011904</v>
      </c>
      <c r="K48" s="30">
        <v>7.839912280701752</v>
      </c>
      <c r="L48" s="31">
        <v>6.853000000000001</v>
      </c>
      <c r="M48" s="31">
        <v>4.7282222222222225</v>
      </c>
      <c r="N48" s="31">
        <v>8.446666666666667</v>
      </c>
      <c r="O48" s="32" t="s">
        <v>76</v>
      </c>
      <c r="P48" s="32" t="s">
        <v>76</v>
      </c>
      <c r="Q48" s="32" t="s">
        <v>76</v>
      </c>
      <c r="R48" s="33" t="str">
        <f t="shared" si="1"/>
        <v>cap</v>
      </c>
      <c r="S48" s="34" t="str">
        <f>IFERROR(__xludf.DUMMYFUNCTION("IF(query(Data!A:M,CONCATENATE(""select Col13 where Col1 = '"",C48,""' and Col8 = 'Bias and Unfair Discrimination'""),0)&gt;70,1,0)"),"#REF!")</f>
        <v>#REF!</v>
      </c>
      <c r="T48" s="34" t="str">
        <f>IFERROR(__xludf.DUMMYFUNCTION("IF(query(Data!A:M,CONCATENATE(""select Col13 where Col1 = '"",C48,""' and Col8 = 'Childrens Rights'""),0)&gt;70,1,0)"),"#REF!")</f>
        <v>#REF!</v>
      </c>
      <c r="U48" s="34" t="str">
        <f>IFERROR(__xludf.DUMMYFUNCTION("IF(query(Data!A:M,CONCATENATE(""select Col13 where Col1 = '"",C48,""' and Col8 = 'Cultural and Linguistic Diversity'""),0)&gt;70,1,0)"),"#REF!")</f>
        <v>#REF!</v>
      </c>
      <c r="V48" s="34" t="str">
        <f>IFERROR(__xludf.DUMMYFUNCTION("IF(query(Data!A:M,CONCATENATE(""select Col13 where Col1 = '"",C48,""' and Col8 = 'Data Protection and Privacy'""),0)&gt;70,1,0)"),"#REF!")</f>
        <v>#REF!</v>
      </c>
      <c r="W48" s="34" t="str">
        <f>IFERROR(__xludf.DUMMYFUNCTION("IF(query(Data!A:M,CONCATENATE(""select Col13 where Col1 = '"",C48,""' and Col8 = 'Gender Equality'""),0)&gt;70,1,0)"),"#REF!")</f>
        <v>#REF!</v>
      </c>
      <c r="X48" s="34" t="str">
        <f>IFERROR(__xludf.DUMMYFUNCTION("IF(query(Data!A:M,CONCATENATE(""select Col13 where Col1 = '"",C48,""' and Col8 = 'Human Oversight and Determination'""),0)&gt;70,1,0)"),"#REF!")</f>
        <v>#REF!</v>
      </c>
      <c r="Y48" s="34" t="str">
        <f>IFERROR(__xludf.DUMMYFUNCTION("IF(query(Data!A:M,CONCATENATE(""select Col13 where Col1 = '"",C48,""' and Col8 = 'Labour Protection and Right to Work'""),0)&gt;70,1,0)"),"#REF!")</f>
        <v>#REF!</v>
      </c>
      <c r="Z48" s="34" t="str">
        <f>IFERROR(__xludf.DUMMYFUNCTION("IF(query(Data!A:M,CONCATENATE(""select Col13 where Col1 = '"",C48,""' and Col8 = 'Safety, Accuracy and Reliability'""),0)&gt;70,1,0)"),"#REF!")</f>
        <v>#REF!</v>
      </c>
      <c r="AA48" s="34" t="str">
        <f>IFERROR(__xludf.DUMMYFUNCTION("IF(query(Data!A:M,CONCATENATE(""select Col13 where Col1 = '"",C48,""' and Col8 = 'Transparency and Explainability'""),0)&gt;70,1,0)"),"#REF!")</f>
        <v>#REF!</v>
      </c>
      <c r="AB48" s="35">
        <f t="shared" si="2"/>
        <v>0</v>
      </c>
      <c r="AC48" s="35">
        <f t="shared" si="3"/>
        <v>0</v>
      </c>
      <c r="AD48" s="35">
        <f t="shared" si="4"/>
        <v>0</v>
      </c>
      <c r="AE48" s="35">
        <f t="shared" si="5"/>
        <v>0</v>
      </c>
      <c r="AF48" s="35">
        <f t="shared" si="6"/>
        <v>0</v>
      </c>
      <c r="AG48" s="35" t="str">
        <f t="shared" si="7"/>
        <v>No</v>
      </c>
      <c r="AH48" s="35" t="str">
        <f>IFERROR(__xludf.DUMMYFUNCTION("IFERROR(query(query(Data!A:BS,CONCATENATE(""select Col50, count(Col49) where Col1 = '"",C48,""' group by Col50"")), CONCATENATE(""select Col1 where Col2 = "",query(query(query(Data!A:BS,CONCATENATE(""select Col50, count(Col49) where Col1 = '"",C48,""' and"&amp;" Col50 &lt;&gt; 'Other' and Col50 is not null group by Col50"")),""select max(Col2)"",0),""Select *"",0),"" limit 1""),0))"),"")</f>
        <v/>
      </c>
      <c r="AI48" s="35" t="str">
        <f t="shared" si="8"/>
        <v/>
      </c>
      <c r="AJ48" s="35" t="str">
        <f t="shared" si="9"/>
        <v>No</v>
      </c>
      <c r="AK48" s="35" t="str">
        <f>IFERROR(__xludf.DUMMYFUNCTION("IFERROR(query(query(Data!A:BS,CONCATENATE(""select Col70, count(Col69) where Col1 = '"",C48,""' group by Col70"")), CONCATENATE(""select Col1 where Col2 = "",query(query(query(Data!A:BS,CONCATENATE(""select Col70, count(Col69) where Col1 = '"",C48,""' and"&amp;" Col70 &lt;&gt; 'Other' and Col70 is not null group by Col70"")),""select max(Col2)"",0),""Select *"",0),"" limit 1""),0))"),"")</f>
        <v/>
      </c>
      <c r="AL48" s="35" t="str">
        <f t="shared" si="10"/>
        <v/>
      </c>
      <c r="AM48" s="35"/>
      <c r="AN48" s="35"/>
      <c r="AO48" s="35"/>
      <c r="AP48" s="35"/>
      <c r="AQ48" s="35"/>
      <c r="AR48" s="35"/>
      <c r="AS48" s="35"/>
      <c r="AT48" s="35"/>
      <c r="AU48" s="35"/>
      <c r="AV48" s="35"/>
    </row>
    <row r="49">
      <c r="A49" s="25">
        <v>31.0</v>
      </c>
      <c r="B49" s="26" t="s">
        <v>190</v>
      </c>
      <c r="C49" s="27" t="s">
        <v>191</v>
      </c>
      <c r="D49" s="28" t="s">
        <v>192</v>
      </c>
      <c r="E49" s="28" t="s">
        <v>46</v>
      </c>
      <c r="F49" s="28" t="s">
        <v>47</v>
      </c>
      <c r="G49" s="28" t="s">
        <v>132</v>
      </c>
      <c r="H49" s="29">
        <v>35.45557160093074</v>
      </c>
      <c r="I49" s="30">
        <v>19.241352399190266</v>
      </c>
      <c r="J49" s="30">
        <v>40.717477918926036</v>
      </c>
      <c r="K49" s="30">
        <v>57.360197368421055</v>
      </c>
      <c r="L49" s="31">
        <v>34.86557142857142</v>
      </c>
      <c r="M49" s="31">
        <v>37.84433333333334</v>
      </c>
      <c r="N49" s="31">
        <v>29.66566666666667</v>
      </c>
      <c r="O49" s="32" t="s">
        <v>80</v>
      </c>
      <c r="P49" s="32" t="s">
        <v>80</v>
      </c>
      <c r="Q49" s="32" t="s">
        <v>54</v>
      </c>
      <c r="R49" s="33" t="str">
        <f t="shared" si="1"/>
        <v>gob</v>
      </c>
      <c r="S49" s="34" t="str">
        <f>IFERROR(__xludf.DUMMYFUNCTION("IF(query(Data!A:M,CONCATENATE(""select Col13 where Col1 = '"",C49,""' and Col8 = 'Bias and Unfair Discrimination'""),0)&gt;70,1,0)"),"#REF!")</f>
        <v>#REF!</v>
      </c>
      <c r="T49" s="34" t="str">
        <f>IFERROR(__xludf.DUMMYFUNCTION("IF(query(Data!A:M,CONCATENATE(""select Col13 where Col1 = '"",C49,""' and Col8 = 'Childrens Rights'""),0)&gt;70,1,0)"),"#REF!")</f>
        <v>#REF!</v>
      </c>
      <c r="U49" s="34" t="str">
        <f>IFERROR(__xludf.DUMMYFUNCTION("IF(query(Data!A:M,CONCATENATE(""select Col13 where Col1 = '"",C49,""' and Col8 = 'Cultural and Linguistic Diversity'""),0)&gt;70,1,0)"),"#REF!")</f>
        <v>#REF!</v>
      </c>
      <c r="V49" s="34" t="str">
        <f>IFERROR(__xludf.DUMMYFUNCTION("IF(query(Data!A:M,CONCATENATE(""select Col13 where Col1 = '"",C49,""' and Col8 = 'Data Protection and Privacy'""),0)&gt;70,1,0)"),"#REF!")</f>
        <v>#REF!</v>
      </c>
      <c r="W49" s="34" t="str">
        <f>IFERROR(__xludf.DUMMYFUNCTION("IF(query(Data!A:M,CONCATENATE(""select Col13 where Col1 = '"",C49,""' and Col8 = 'Gender Equality'""),0)&gt;70,1,0)"),"#REF!")</f>
        <v>#REF!</v>
      </c>
      <c r="X49" s="34" t="str">
        <f>IFERROR(__xludf.DUMMYFUNCTION("IF(query(Data!A:M,CONCATENATE(""select Col13 where Col1 = '"",C49,""' and Col8 = 'Human Oversight and Determination'""),0)&gt;70,1,0)"),"#REF!")</f>
        <v>#REF!</v>
      </c>
      <c r="Y49" s="34" t="str">
        <f>IFERROR(__xludf.DUMMYFUNCTION("IF(query(Data!A:M,CONCATENATE(""select Col13 where Col1 = '"",C49,""' and Col8 = 'Labour Protection and Right to Work'""),0)&gt;70,1,0)"),"#REF!")</f>
        <v>#REF!</v>
      </c>
      <c r="Z49" s="34" t="str">
        <f>IFERROR(__xludf.DUMMYFUNCTION("IF(query(Data!A:M,CONCATENATE(""select Col13 where Col1 = '"",C49,""' and Col8 = 'Safety, Accuracy and Reliability'""),0)&gt;70,1,0)"),"#REF!")</f>
        <v>#REF!</v>
      </c>
      <c r="AA49" s="34" t="str">
        <f>IFERROR(__xludf.DUMMYFUNCTION("IF(query(Data!A:M,CONCATENATE(""select Col13 where Col1 = '"",C49,""' and Col8 = 'Transparency and Explainability'""),0)&gt;70,1,0)"),"#REF!")</f>
        <v>#REF!</v>
      </c>
      <c r="AB49" s="35">
        <f t="shared" si="2"/>
        <v>0</v>
      </c>
      <c r="AC49" s="35">
        <f t="shared" si="3"/>
        <v>0</v>
      </c>
      <c r="AD49" s="35">
        <f t="shared" si="4"/>
        <v>0</v>
      </c>
      <c r="AE49" s="35">
        <f t="shared" si="5"/>
        <v>0</v>
      </c>
      <c r="AF49" s="35">
        <f t="shared" si="6"/>
        <v>0</v>
      </c>
      <c r="AG49" s="35" t="str">
        <f t="shared" si="7"/>
        <v>No</v>
      </c>
      <c r="AH49" s="35" t="str">
        <f>IFERROR(__xludf.DUMMYFUNCTION("IFERROR(query(query(Data!A:BS,CONCATENATE(""select Col50, count(Col49) where Col1 = '"",C49,""' group by Col50"")), CONCATENATE(""select Col1 where Col2 = "",query(query(query(Data!A:BS,CONCATENATE(""select Col50, count(Col49) where Col1 = '"",C49,""' and"&amp;" Col50 &lt;&gt; 'Other' and Col50 is not null group by Col50"")),""select max(Col2)"",0),""Select *"",0),"" limit 1""),0))"),"")</f>
        <v/>
      </c>
      <c r="AI49" s="35" t="str">
        <f t="shared" si="8"/>
        <v/>
      </c>
      <c r="AJ49" s="35" t="str">
        <f t="shared" si="9"/>
        <v>No</v>
      </c>
      <c r="AK49" s="35" t="str">
        <f>IFERROR(__xludf.DUMMYFUNCTION("IFERROR(query(query(Data!A:BS,CONCATENATE(""select Col70, count(Col69) where Col1 = '"",C49,""' group by Col70"")), CONCATENATE(""select Col1 where Col2 = "",query(query(query(Data!A:BS,CONCATENATE(""select Col70, count(Col69) where Col1 = '"",C49,""' and"&amp;" Col70 &lt;&gt; 'Other' and Col70 is not null group by Col70"")),""select max(Col2)"",0),""Select *"",0),"" limit 1""),0))"),"")</f>
        <v/>
      </c>
      <c r="AL49" s="35" t="str">
        <f t="shared" si="10"/>
        <v/>
      </c>
      <c r="AM49" s="35"/>
      <c r="AN49" s="35"/>
      <c r="AO49" s="35"/>
      <c r="AP49" s="35"/>
      <c r="AQ49" s="35"/>
      <c r="AR49" s="35"/>
      <c r="AS49" s="35"/>
      <c r="AT49" s="35"/>
      <c r="AU49" s="35"/>
      <c r="AV49" s="35"/>
    </row>
    <row r="50">
      <c r="A50" s="25">
        <v>20.0</v>
      </c>
      <c r="B50" s="26" t="s">
        <v>193</v>
      </c>
      <c r="C50" s="27" t="s">
        <v>194</v>
      </c>
      <c r="D50" s="28" t="s">
        <v>195</v>
      </c>
      <c r="E50" s="28" t="s">
        <v>52</v>
      </c>
      <c r="F50" s="28" t="s">
        <v>52</v>
      </c>
      <c r="G50" s="28" t="s">
        <v>186</v>
      </c>
      <c r="H50" s="29">
        <v>43.06934828841896</v>
      </c>
      <c r="I50" s="30">
        <v>36.451092870611895</v>
      </c>
      <c r="J50" s="30">
        <v>49.292453289031975</v>
      </c>
      <c r="K50" s="30">
        <v>43.85964912280702</v>
      </c>
      <c r="L50" s="31">
        <v>36.584428571428575</v>
      </c>
      <c r="M50" s="31">
        <v>47.23833333333332</v>
      </c>
      <c r="N50" s="31">
        <v>45.693999999999996</v>
      </c>
      <c r="O50" s="32" t="s">
        <v>59</v>
      </c>
      <c r="P50" s="32" t="s">
        <v>59</v>
      </c>
      <c r="Q50" s="32" t="s">
        <v>59</v>
      </c>
      <c r="R50" s="33" t="str">
        <f t="shared" si="1"/>
        <v>gob</v>
      </c>
      <c r="S50" s="34" t="str">
        <f>IFERROR(__xludf.DUMMYFUNCTION("IF(query(Data!A:M,CONCATENATE(""select Col13 where Col1 = '"",C50,""' and Col8 = 'Bias and Unfair Discrimination'""),0)&gt;70,1,0)"),"#REF!")</f>
        <v>#REF!</v>
      </c>
      <c r="T50" s="34" t="str">
        <f>IFERROR(__xludf.DUMMYFUNCTION("IF(query(Data!A:M,CONCATENATE(""select Col13 where Col1 = '"",C50,""' and Col8 = 'Childrens Rights'""),0)&gt;70,1,0)"),"#REF!")</f>
        <v>#REF!</v>
      </c>
      <c r="U50" s="34" t="str">
        <f>IFERROR(__xludf.DUMMYFUNCTION("IF(query(Data!A:M,CONCATENATE(""select Col13 where Col1 = '"",C50,""' and Col8 = 'Cultural and Linguistic Diversity'""),0)&gt;70,1,0)"),"#REF!")</f>
        <v>#REF!</v>
      </c>
      <c r="V50" s="34" t="str">
        <f>IFERROR(__xludf.DUMMYFUNCTION("IF(query(Data!A:M,CONCATENATE(""select Col13 where Col1 = '"",C50,""' and Col8 = 'Data Protection and Privacy'""),0)&gt;70,1,0)"),"#REF!")</f>
        <v>#REF!</v>
      </c>
      <c r="W50" s="34" t="str">
        <f>IFERROR(__xludf.DUMMYFUNCTION("IF(query(Data!A:M,CONCATENATE(""select Col13 where Col1 = '"",C50,""' and Col8 = 'Gender Equality'""),0)&gt;70,1,0)"),"#REF!")</f>
        <v>#REF!</v>
      </c>
      <c r="X50" s="34" t="str">
        <f>IFERROR(__xludf.DUMMYFUNCTION("IF(query(Data!A:M,CONCATENATE(""select Col13 where Col1 = '"",C50,""' and Col8 = 'Human Oversight and Determination'""),0)&gt;70,1,0)"),"#REF!")</f>
        <v>#REF!</v>
      </c>
      <c r="Y50" s="34" t="str">
        <f>IFERROR(__xludf.DUMMYFUNCTION("IF(query(Data!A:M,CONCATENATE(""select Col13 where Col1 = '"",C50,""' and Col8 = 'Labour Protection and Right to Work'""),0)&gt;70,1,0)"),"#REF!")</f>
        <v>#REF!</v>
      </c>
      <c r="Z50" s="34" t="str">
        <f>IFERROR(__xludf.DUMMYFUNCTION("IF(query(Data!A:M,CONCATENATE(""select Col13 where Col1 = '"",C50,""' and Col8 = 'Safety, Accuracy and Reliability'""),0)&gt;70,1,0)"),"#REF!")</f>
        <v>#REF!</v>
      </c>
      <c r="AA50" s="34" t="str">
        <f>IFERROR(__xludf.DUMMYFUNCTION("IF(query(Data!A:M,CONCATENATE(""select Col13 where Col1 = '"",C50,""' and Col8 = 'Transparency and Explainability'""),0)&gt;70,1,0)"),"#REF!")</f>
        <v>#REF!</v>
      </c>
      <c r="AB50" s="35">
        <f t="shared" si="2"/>
        <v>0</v>
      </c>
      <c r="AC50" s="35">
        <f t="shared" si="3"/>
        <v>0</v>
      </c>
      <c r="AD50" s="35">
        <f t="shared" si="4"/>
        <v>0</v>
      </c>
      <c r="AE50" s="35">
        <f t="shared" si="5"/>
        <v>0</v>
      </c>
      <c r="AF50" s="35">
        <f t="shared" si="6"/>
        <v>0</v>
      </c>
      <c r="AG50" s="35" t="str">
        <f t="shared" si="7"/>
        <v>No</v>
      </c>
      <c r="AH50" s="35" t="str">
        <f>IFERROR(__xludf.DUMMYFUNCTION("IFERROR(query(query(Data!A:BS,CONCATENATE(""select Col50, count(Col49) where Col1 = '"",C50,""' group by Col50"")), CONCATENATE(""select Col1 where Col2 = "",query(query(query(Data!A:BS,CONCATENATE(""select Col50, count(Col49) where Col1 = '"",C50,""' and"&amp;" Col50 &lt;&gt; 'Other' and Col50 is not null group by Col50"")),""select max(Col2)"",0),""Select *"",0),"" limit 1""),0))"),"")</f>
        <v/>
      </c>
      <c r="AI50" s="35" t="str">
        <f t="shared" si="8"/>
        <v/>
      </c>
      <c r="AJ50" s="35" t="str">
        <f t="shared" si="9"/>
        <v>No</v>
      </c>
      <c r="AK50" s="35" t="str">
        <f>IFERROR(__xludf.DUMMYFUNCTION("IFERROR(query(query(Data!A:BS,CONCATENATE(""select Col70, count(Col69) where Col1 = '"",C50,""' group by Col70"")), CONCATENATE(""select Col1 where Col2 = "",query(query(query(Data!A:BS,CONCATENATE(""select Col70, count(Col69) where Col1 = '"",C50,""' and"&amp;" Col70 &lt;&gt; 'Other' and Col70 is not null group by Col70"")),""select max(Col2)"",0),""Select *"",0),"" limit 1""),0))"),"")</f>
        <v/>
      </c>
      <c r="AL50" s="35" t="str">
        <f t="shared" si="10"/>
        <v/>
      </c>
      <c r="AM50" s="35"/>
      <c r="AN50" s="35"/>
      <c r="AO50" s="35"/>
      <c r="AP50" s="35"/>
      <c r="AQ50" s="35"/>
      <c r="AR50" s="35"/>
      <c r="AS50" s="35"/>
      <c r="AT50" s="35"/>
      <c r="AU50" s="35"/>
      <c r="AV50" s="35"/>
    </row>
    <row r="51">
      <c r="A51" s="25">
        <v>8.0</v>
      </c>
      <c r="B51" s="26" t="s">
        <v>196</v>
      </c>
      <c r="C51" s="27" t="s">
        <v>197</v>
      </c>
      <c r="D51" s="28" t="s">
        <v>198</v>
      </c>
      <c r="E51" s="28" t="s">
        <v>52</v>
      </c>
      <c r="F51" s="28" t="s">
        <v>52</v>
      </c>
      <c r="G51" s="28" t="s">
        <v>58</v>
      </c>
      <c r="H51" s="29">
        <v>57.62319976405094</v>
      </c>
      <c r="I51" s="30">
        <v>56.231379860325866</v>
      </c>
      <c r="J51" s="30">
        <v>58.92036954980148</v>
      </c>
      <c r="K51" s="30">
        <v>57.8125</v>
      </c>
      <c r="L51" s="31">
        <v>39.839</v>
      </c>
      <c r="M51" s="31">
        <v>72.27477777777777</v>
      </c>
      <c r="N51" s="31">
        <v>55.165333333333336</v>
      </c>
      <c r="O51" s="32" t="s">
        <v>59</v>
      </c>
      <c r="P51" s="32" t="s">
        <v>59</v>
      </c>
      <c r="Q51" s="32" t="s">
        <v>59</v>
      </c>
      <c r="R51" s="33" t="str">
        <f t="shared" si="1"/>
        <v>gob</v>
      </c>
      <c r="S51" s="34" t="str">
        <f>IFERROR(__xludf.DUMMYFUNCTION("IF(query(Data!A:M,CONCATENATE(""select Col13 where Col1 = '"",C51,""' and Col8 = 'Bias and Unfair Discrimination'""),0)&gt;70,1,0)"),"#REF!")</f>
        <v>#REF!</v>
      </c>
      <c r="T51" s="34" t="str">
        <f>IFERROR(__xludf.DUMMYFUNCTION("IF(query(Data!A:M,CONCATENATE(""select Col13 where Col1 = '"",C51,""' and Col8 = 'Childrens Rights'""),0)&gt;70,1,0)"),"#REF!")</f>
        <v>#REF!</v>
      </c>
      <c r="U51" s="34" t="str">
        <f>IFERROR(__xludf.DUMMYFUNCTION("IF(query(Data!A:M,CONCATENATE(""select Col13 where Col1 = '"",C51,""' and Col8 = 'Cultural and Linguistic Diversity'""),0)&gt;70,1,0)"),"#REF!")</f>
        <v>#REF!</v>
      </c>
      <c r="V51" s="34" t="str">
        <f>IFERROR(__xludf.DUMMYFUNCTION("IF(query(Data!A:M,CONCATENATE(""select Col13 where Col1 = '"",C51,""' and Col8 = 'Data Protection and Privacy'""),0)&gt;70,1,0)"),"#REF!")</f>
        <v>#REF!</v>
      </c>
      <c r="W51" s="34" t="str">
        <f>IFERROR(__xludf.DUMMYFUNCTION("IF(query(Data!A:M,CONCATENATE(""select Col13 where Col1 = '"",C51,""' and Col8 = 'Gender Equality'""),0)&gt;70,1,0)"),"#REF!")</f>
        <v>#REF!</v>
      </c>
      <c r="X51" s="34" t="str">
        <f>IFERROR(__xludf.DUMMYFUNCTION("IF(query(Data!A:M,CONCATENATE(""select Col13 where Col1 = '"",C51,""' and Col8 = 'Human Oversight and Determination'""),0)&gt;70,1,0)"),"#REF!")</f>
        <v>#REF!</v>
      </c>
      <c r="Y51" s="34" t="str">
        <f>IFERROR(__xludf.DUMMYFUNCTION("IF(query(Data!A:M,CONCATENATE(""select Col13 where Col1 = '"",C51,""' and Col8 = 'Labour Protection and Right to Work'""),0)&gt;70,1,0)"),"#REF!")</f>
        <v>#REF!</v>
      </c>
      <c r="Z51" s="34" t="str">
        <f>IFERROR(__xludf.DUMMYFUNCTION("IF(query(Data!A:M,CONCATENATE(""select Col13 where Col1 = '"",C51,""' and Col8 = 'Safety, Accuracy and Reliability'""),0)&gt;70,1,0)"),"#REF!")</f>
        <v>#REF!</v>
      </c>
      <c r="AA51" s="34" t="str">
        <f>IFERROR(__xludf.DUMMYFUNCTION("IF(query(Data!A:M,CONCATENATE(""select Col13 where Col1 = '"",C51,""' and Col8 = 'Transparency and Explainability'""),0)&gt;70,1,0)"),"#REF!")</f>
        <v>#REF!</v>
      </c>
      <c r="AB51" s="35">
        <f t="shared" si="2"/>
        <v>0</v>
      </c>
      <c r="AC51" s="35">
        <f t="shared" si="3"/>
        <v>0</v>
      </c>
      <c r="AD51" s="35">
        <f t="shared" si="4"/>
        <v>0</v>
      </c>
      <c r="AE51" s="35">
        <f t="shared" si="5"/>
        <v>0</v>
      </c>
      <c r="AF51" s="35">
        <f t="shared" si="6"/>
        <v>0</v>
      </c>
      <c r="AG51" s="35" t="str">
        <f t="shared" si="7"/>
        <v>No</v>
      </c>
      <c r="AH51" s="35" t="str">
        <f>IFERROR(__xludf.DUMMYFUNCTION("IFERROR(query(query(Data!A:BS,CONCATENATE(""select Col50, count(Col49) where Col1 = '"",C51,""' group by Col50"")), CONCATENATE(""select Col1 where Col2 = "",query(query(query(Data!A:BS,CONCATENATE(""select Col50, count(Col49) where Col1 = '"",C51,""' and"&amp;" Col50 &lt;&gt; 'Other' and Col50 is not null group by Col50"")),""select max(Col2)"",0),""Select *"",0),"" limit 1""),0))"),"")</f>
        <v/>
      </c>
      <c r="AI51" s="35" t="str">
        <f t="shared" si="8"/>
        <v/>
      </c>
      <c r="AJ51" s="35" t="str">
        <f t="shared" si="9"/>
        <v>No</v>
      </c>
      <c r="AK51" s="35" t="str">
        <f>IFERROR(__xludf.DUMMYFUNCTION("IFERROR(query(query(Data!A:BS,CONCATENATE(""select Col70, count(Col69) where Col1 = '"",C51,""' group by Col70"")), CONCATENATE(""select Col1 where Col2 = "",query(query(query(Data!A:BS,CONCATENATE(""select Col70, count(Col69) where Col1 = '"",C51,""' and"&amp;" Col70 &lt;&gt; 'Other' and Col70 is not null group by Col70"")),""select max(Col2)"",0),""Select *"",0),"" limit 1""),0))"),"")</f>
        <v/>
      </c>
      <c r="AL51" s="35" t="str">
        <f t="shared" si="10"/>
        <v/>
      </c>
      <c r="AM51" s="35"/>
      <c r="AN51" s="35"/>
      <c r="AO51" s="35"/>
      <c r="AP51" s="35"/>
      <c r="AQ51" s="35"/>
      <c r="AR51" s="35"/>
      <c r="AS51" s="35"/>
      <c r="AT51" s="35"/>
      <c r="AU51" s="35"/>
      <c r="AV51" s="35"/>
    </row>
    <row r="52">
      <c r="A52" s="25">
        <v>115.0</v>
      </c>
      <c r="B52" s="26" t="s">
        <v>199</v>
      </c>
      <c r="C52" s="27" t="s">
        <v>200</v>
      </c>
      <c r="D52" s="28" t="s">
        <v>201</v>
      </c>
      <c r="E52" s="28" t="s">
        <v>74</v>
      </c>
      <c r="F52" s="28" t="s">
        <v>74</v>
      </c>
      <c r="G52" s="28" t="s">
        <v>106</v>
      </c>
      <c r="H52" s="29">
        <v>1.664349546934429</v>
      </c>
      <c r="I52" s="30">
        <v>2.256082434403269</v>
      </c>
      <c r="J52" s="30">
        <v>1.9047914329328033</v>
      </c>
      <c r="K52" s="30">
        <v>0.0</v>
      </c>
      <c r="L52" s="31">
        <v>2.4494285714285717</v>
      </c>
      <c r="M52" s="31">
        <v>0.0</v>
      </c>
      <c r="N52" s="31">
        <v>4.825333333333334</v>
      </c>
      <c r="O52" s="32" t="s">
        <v>76</v>
      </c>
      <c r="P52" s="32" t="s">
        <v>76</v>
      </c>
      <c r="Q52" s="32" t="s">
        <v>80</v>
      </c>
      <c r="R52" s="33" t="str">
        <f t="shared" si="1"/>
        <v>cap</v>
      </c>
      <c r="S52" s="34" t="str">
        <f>IFERROR(__xludf.DUMMYFUNCTION("IF(query(Data!A:M,CONCATENATE(""select Col13 where Col1 = '"",C52,""' and Col8 = 'Bias and Unfair Discrimination'""),0)&gt;70,1,0)"),"#REF!")</f>
        <v>#REF!</v>
      </c>
      <c r="T52" s="34" t="str">
        <f>IFERROR(__xludf.DUMMYFUNCTION("IF(query(Data!A:M,CONCATENATE(""select Col13 where Col1 = '"",C52,""' and Col8 = 'Childrens Rights'""),0)&gt;70,1,0)"),"#REF!")</f>
        <v>#REF!</v>
      </c>
      <c r="U52" s="34" t="str">
        <f>IFERROR(__xludf.DUMMYFUNCTION("IF(query(Data!A:M,CONCATENATE(""select Col13 where Col1 = '"",C52,""' and Col8 = 'Cultural and Linguistic Diversity'""),0)&gt;70,1,0)"),"#REF!")</f>
        <v>#REF!</v>
      </c>
      <c r="V52" s="34" t="str">
        <f>IFERROR(__xludf.DUMMYFUNCTION("IF(query(Data!A:M,CONCATENATE(""select Col13 where Col1 = '"",C52,""' and Col8 = 'Data Protection and Privacy'""),0)&gt;70,1,0)"),"#REF!")</f>
        <v>#REF!</v>
      </c>
      <c r="W52" s="34" t="str">
        <f>IFERROR(__xludf.DUMMYFUNCTION("IF(query(Data!A:M,CONCATENATE(""select Col13 where Col1 = '"",C52,""' and Col8 = 'Gender Equality'""),0)&gt;70,1,0)"),"#REF!")</f>
        <v>#REF!</v>
      </c>
      <c r="X52" s="34" t="str">
        <f>IFERROR(__xludf.DUMMYFUNCTION("IF(query(Data!A:M,CONCATENATE(""select Col13 where Col1 = '"",C52,""' and Col8 = 'Human Oversight and Determination'""),0)&gt;70,1,0)"),"#REF!")</f>
        <v>#REF!</v>
      </c>
      <c r="Y52" s="34" t="str">
        <f>IFERROR(__xludf.DUMMYFUNCTION("IF(query(Data!A:M,CONCATENATE(""select Col13 where Col1 = '"",C52,""' and Col8 = 'Labour Protection and Right to Work'""),0)&gt;70,1,0)"),"#REF!")</f>
        <v>#REF!</v>
      </c>
      <c r="Z52" s="34" t="str">
        <f>IFERROR(__xludf.DUMMYFUNCTION("IF(query(Data!A:M,CONCATENATE(""select Col13 where Col1 = '"",C52,""' and Col8 = 'Safety, Accuracy and Reliability'""),0)&gt;70,1,0)"),"#REF!")</f>
        <v>#REF!</v>
      </c>
      <c r="AA52" s="34" t="str">
        <f>IFERROR(__xludf.DUMMYFUNCTION("IF(query(Data!A:M,CONCATENATE(""select Col13 where Col1 = '"",C52,""' and Col8 = 'Transparency and Explainability'""),0)&gt;70,1,0)"),"#REF!")</f>
        <v>#REF!</v>
      </c>
      <c r="AB52" s="35">
        <f t="shared" si="2"/>
        <v>0</v>
      </c>
      <c r="AC52" s="35">
        <f t="shared" si="3"/>
        <v>0</v>
      </c>
      <c r="AD52" s="35">
        <f t="shared" si="4"/>
        <v>0</v>
      </c>
      <c r="AE52" s="35">
        <f t="shared" si="5"/>
        <v>0</v>
      </c>
      <c r="AF52" s="35">
        <f t="shared" si="6"/>
        <v>0</v>
      </c>
      <c r="AG52" s="35" t="str">
        <f t="shared" si="7"/>
        <v>No</v>
      </c>
      <c r="AH52" s="35" t="str">
        <f>IFERROR(__xludf.DUMMYFUNCTION("IFERROR(query(query(Data!A:BS,CONCATENATE(""select Col50, count(Col49) where Col1 = '"",C52,""' group by Col50"")), CONCATENATE(""select Col1 where Col2 = "",query(query(query(Data!A:BS,CONCATENATE(""select Col50, count(Col49) where Col1 = '"",C52,""' and"&amp;" Col50 &lt;&gt; 'Other' and Col50 is not null group by Col50"")),""select max(Col2)"",0),""Select *"",0),"" limit 1""),0))"),"")</f>
        <v/>
      </c>
      <c r="AI52" s="35" t="str">
        <f t="shared" si="8"/>
        <v/>
      </c>
      <c r="AJ52" s="35" t="str">
        <f t="shared" si="9"/>
        <v>No</v>
      </c>
      <c r="AK52" s="35" t="str">
        <f>IFERROR(__xludf.DUMMYFUNCTION("IFERROR(query(query(Data!A:BS,CONCATENATE(""select Col70, count(Col69) where Col1 = '"",C52,""' group by Col70"")), CONCATENATE(""select Col1 where Col2 = "",query(query(query(Data!A:BS,CONCATENATE(""select Col70, count(Col69) where Col1 = '"",C52,""' and"&amp;" Col70 &lt;&gt; 'Other' and Col70 is not null group by Col70"")),""select max(Col2)"",0),""Select *"",0),"" limit 1""),0))"),"")</f>
        <v/>
      </c>
      <c r="AL52" s="35" t="str">
        <f t="shared" si="10"/>
        <v/>
      </c>
      <c r="AM52" s="35"/>
      <c r="AN52" s="35"/>
      <c r="AO52" s="35"/>
      <c r="AP52" s="35"/>
      <c r="AQ52" s="35"/>
      <c r="AR52" s="35"/>
      <c r="AS52" s="35"/>
      <c r="AT52" s="35"/>
      <c r="AU52" s="35"/>
      <c r="AV52" s="35"/>
    </row>
    <row r="53">
      <c r="A53" s="25">
        <v>125.0</v>
      </c>
      <c r="B53" s="26" t="s">
        <v>202</v>
      </c>
      <c r="C53" s="27" t="s">
        <v>203</v>
      </c>
      <c r="D53" s="28" t="s">
        <v>203</v>
      </c>
      <c r="E53" s="28" t="s">
        <v>74</v>
      </c>
      <c r="F53" s="28" t="s">
        <v>74</v>
      </c>
      <c r="G53" s="28" t="s">
        <v>106</v>
      </c>
      <c r="H53" s="29">
        <v>0.996524315884239</v>
      </c>
      <c r="I53" s="30">
        <v>0.0</v>
      </c>
      <c r="J53" s="30">
        <v>2.4913107897105973</v>
      </c>
      <c r="K53" s="30">
        <v>0.0</v>
      </c>
      <c r="L53" s="31">
        <v>0.0</v>
      </c>
      <c r="M53" s="31">
        <v>0.0</v>
      </c>
      <c r="N53" s="31">
        <v>6.311333333333334</v>
      </c>
      <c r="O53" s="32" t="s">
        <v>76</v>
      </c>
      <c r="P53" s="32" t="s">
        <v>80</v>
      </c>
      <c r="Q53" s="32" t="s">
        <v>54</v>
      </c>
      <c r="R53" s="33" t="str">
        <f t="shared" si="1"/>
        <v>cap</v>
      </c>
      <c r="S53" s="34" t="str">
        <f>IFERROR(__xludf.DUMMYFUNCTION("IF(query(Data!A:M,CONCATENATE(""select Col13 where Col1 = '"",C53,""' and Col8 = 'Bias and Unfair Discrimination'""),0)&gt;70,1,0)"),"#REF!")</f>
        <v>#REF!</v>
      </c>
      <c r="T53" s="34" t="str">
        <f>IFERROR(__xludf.DUMMYFUNCTION("IF(query(Data!A:M,CONCATENATE(""select Col13 where Col1 = '"",C53,""' and Col8 = 'Childrens Rights'""),0)&gt;70,1,0)"),"#REF!")</f>
        <v>#REF!</v>
      </c>
      <c r="U53" s="34" t="str">
        <f>IFERROR(__xludf.DUMMYFUNCTION("IF(query(Data!A:M,CONCATENATE(""select Col13 where Col1 = '"",C53,""' and Col8 = 'Cultural and Linguistic Diversity'""),0)&gt;70,1,0)"),"#REF!")</f>
        <v>#REF!</v>
      </c>
      <c r="V53" s="34" t="str">
        <f>IFERROR(__xludf.DUMMYFUNCTION("IF(query(Data!A:M,CONCATENATE(""select Col13 where Col1 = '"",C53,""' and Col8 = 'Data Protection and Privacy'""),0)&gt;70,1,0)"),"#REF!")</f>
        <v>#REF!</v>
      </c>
      <c r="W53" s="34" t="str">
        <f>IFERROR(__xludf.DUMMYFUNCTION("IF(query(Data!A:M,CONCATENATE(""select Col13 where Col1 = '"",C53,""' and Col8 = 'Gender Equality'""),0)&gt;70,1,0)"),"#REF!")</f>
        <v>#REF!</v>
      </c>
      <c r="X53" s="34" t="str">
        <f>IFERROR(__xludf.DUMMYFUNCTION("IF(query(Data!A:M,CONCATENATE(""select Col13 where Col1 = '"",C53,""' and Col8 = 'Human Oversight and Determination'""),0)&gt;70,1,0)"),"#REF!")</f>
        <v>#REF!</v>
      </c>
      <c r="Y53" s="34" t="str">
        <f>IFERROR(__xludf.DUMMYFUNCTION("IF(query(Data!A:M,CONCATENATE(""select Col13 where Col1 = '"",C53,""' and Col8 = 'Labour Protection and Right to Work'""),0)&gt;70,1,0)"),"#REF!")</f>
        <v>#REF!</v>
      </c>
      <c r="Z53" s="34" t="str">
        <f>IFERROR(__xludf.DUMMYFUNCTION("IF(query(Data!A:M,CONCATENATE(""select Col13 where Col1 = '"",C53,""' and Col8 = 'Safety, Accuracy and Reliability'""),0)&gt;70,1,0)"),"#REF!")</f>
        <v>#REF!</v>
      </c>
      <c r="AA53" s="34" t="str">
        <f>IFERROR(__xludf.DUMMYFUNCTION("IF(query(Data!A:M,CONCATENATE(""select Col13 where Col1 = '"",C53,""' and Col8 = 'Transparency and Explainability'""),0)&gt;70,1,0)"),"#REF!")</f>
        <v>#REF!</v>
      </c>
      <c r="AB53" s="35">
        <f t="shared" si="2"/>
        <v>0</v>
      </c>
      <c r="AC53" s="35">
        <f t="shared" si="3"/>
        <v>0</v>
      </c>
      <c r="AD53" s="35">
        <f t="shared" si="4"/>
        <v>0</v>
      </c>
      <c r="AE53" s="35">
        <f t="shared" si="5"/>
        <v>0</v>
      </c>
      <c r="AF53" s="35">
        <f t="shared" si="6"/>
        <v>0</v>
      </c>
      <c r="AG53" s="35" t="str">
        <f t="shared" si="7"/>
        <v>No</v>
      </c>
      <c r="AH53" s="35" t="str">
        <f>IFERROR(__xludf.DUMMYFUNCTION("IFERROR(query(query(Data!A:BS,CONCATENATE(""select Col50, count(Col49) where Col1 = '"",C53,""' group by Col50"")), CONCATENATE(""select Col1 where Col2 = "",query(query(query(Data!A:BS,CONCATENATE(""select Col50, count(Col49) where Col1 = '"",C53,""' and"&amp;" Col50 &lt;&gt; 'Other' and Col50 is not null group by Col50"")),""select max(Col2)"",0),""Select *"",0),"" limit 1""),0))"),"")</f>
        <v/>
      </c>
      <c r="AI53" s="35" t="str">
        <f t="shared" si="8"/>
        <v/>
      </c>
      <c r="AJ53" s="35" t="str">
        <f t="shared" si="9"/>
        <v>No</v>
      </c>
      <c r="AK53" s="35" t="str">
        <f>IFERROR(__xludf.DUMMYFUNCTION("IFERROR(query(query(Data!A:BS,CONCATENATE(""select Col70, count(Col69) where Col1 = '"",C53,""' group by Col70"")), CONCATENATE(""select Col1 where Col2 = "",query(query(query(Data!A:BS,CONCATENATE(""select Col70, count(Col69) where Col1 = '"",C53,""' and"&amp;" Col70 &lt;&gt; 'Other' and Col70 is not null group by Col70"")),""select max(Col2)"",0),""Select *"",0),"" limit 1""),0))"),"")</f>
        <v/>
      </c>
      <c r="AL53" s="35" t="str">
        <f t="shared" si="10"/>
        <v/>
      </c>
      <c r="AM53" s="35"/>
      <c r="AN53" s="35"/>
      <c r="AO53" s="35"/>
      <c r="AP53" s="35"/>
      <c r="AQ53" s="35"/>
      <c r="AR53" s="35"/>
      <c r="AS53" s="35"/>
      <c r="AT53" s="35"/>
      <c r="AU53" s="35"/>
      <c r="AV53" s="35"/>
    </row>
    <row r="54">
      <c r="A54" s="25">
        <v>60.0</v>
      </c>
      <c r="B54" s="26" t="s">
        <v>204</v>
      </c>
      <c r="C54" s="27" t="s">
        <v>205</v>
      </c>
      <c r="D54" s="28" t="s">
        <v>205</v>
      </c>
      <c r="E54" s="28" t="s">
        <v>52</v>
      </c>
      <c r="F54" s="28" t="s">
        <v>47</v>
      </c>
      <c r="G54" s="28" t="s">
        <v>70</v>
      </c>
      <c r="H54" s="29">
        <v>17.832981852481243</v>
      </c>
      <c r="I54" s="30">
        <v>28.304990467272308</v>
      </c>
      <c r="J54" s="30">
        <v>7.930424690246582</v>
      </c>
      <c r="K54" s="30">
        <v>16.694078947368418</v>
      </c>
      <c r="L54" s="31">
        <v>17.195714285714285</v>
      </c>
      <c r="M54" s="31">
        <v>20.59688888888889</v>
      </c>
      <c r="N54" s="31">
        <v>11.027000000000001</v>
      </c>
      <c r="O54" s="32" t="s">
        <v>54</v>
      </c>
      <c r="P54" s="32" t="s">
        <v>54</v>
      </c>
      <c r="Q54" s="32" t="s">
        <v>54</v>
      </c>
      <c r="R54" s="33" t="str">
        <f t="shared" si="1"/>
        <v>gob</v>
      </c>
      <c r="S54" s="34" t="str">
        <f>IFERROR(__xludf.DUMMYFUNCTION("IF(query(Data!A:M,CONCATENATE(""select Col13 where Col1 = '"",C54,""' and Col8 = 'Bias and Unfair Discrimination'""),0)&gt;70,1,0)"),"#REF!")</f>
        <v>#REF!</v>
      </c>
      <c r="T54" s="34" t="str">
        <f>IFERROR(__xludf.DUMMYFUNCTION("IF(query(Data!A:M,CONCATENATE(""select Col13 where Col1 = '"",C54,""' and Col8 = 'Childrens Rights'""),0)&gt;70,1,0)"),"#REF!")</f>
        <v>#REF!</v>
      </c>
      <c r="U54" s="34" t="str">
        <f>IFERROR(__xludf.DUMMYFUNCTION("IF(query(Data!A:M,CONCATENATE(""select Col13 where Col1 = '"",C54,""' and Col8 = 'Cultural and Linguistic Diversity'""),0)&gt;70,1,0)"),"#REF!")</f>
        <v>#REF!</v>
      </c>
      <c r="V54" s="34" t="str">
        <f>IFERROR(__xludf.DUMMYFUNCTION("IF(query(Data!A:M,CONCATENATE(""select Col13 where Col1 = '"",C54,""' and Col8 = 'Data Protection and Privacy'""),0)&gt;70,1,0)"),"#REF!")</f>
        <v>#REF!</v>
      </c>
      <c r="W54" s="34" t="str">
        <f>IFERROR(__xludf.DUMMYFUNCTION("IF(query(Data!A:M,CONCATENATE(""select Col13 where Col1 = '"",C54,""' and Col8 = 'Gender Equality'""),0)&gt;70,1,0)"),"#REF!")</f>
        <v>#REF!</v>
      </c>
      <c r="X54" s="34" t="str">
        <f>IFERROR(__xludf.DUMMYFUNCTION("IF(query(Data!A:M,CONCATENATE(""select Col13 where Col1 = '"",C54,""' and Col8 = 'Human Oversight and Determination'""),0)&gt;70,1,0)"),"#REF!")</f>
        <v>#REF!</v>
      </c>
      <c r="Y54" s="34" t="str">
        <f>IFERROR(__xludf.DUMMYFUNCTION("IF(query(Data!A:M,CONCATENATE(""select Col13 where Col1 = '"",C54,""' and Col8 = 'Labour Protection and Right to Work'""),0)&gt;70,1,0)"),"#REF!")</f>
        <v>#REF!</v>
      </c>
      <c r="Z54" s="34" t="str">
        <f>IFERROR(__xludf.DUMMYFUNCTION("IF(query(Data!A:M,CONCATENATE(""select Col13 where Col1 = '"",C54,""' and Col8 = 'Safety, Accuracy and Reliability'""),0)&gt;70,1,0)"),"#REF!")</f>
        <v>#REF!</v>
      </c>
      <c r="AA54" s="34" t="str">
        <f>IFERROR(__xludf.DUMMYFUNCTION("IF(query(Data!A:M,CONCATENATE(""select Col13 where Col1 = '"",C54,""' and Col8 = 'Transparency and Explainability'""),0)&gt;70,1,0)"),"#REF!")</f>
        <v>#REF!</v>
      </c>
      <c r="AB54" s="35">
        <f t="shared" si="2"/>
        <v>0</v>
      </c>
      <c r="AC54" s="35">
        <f t="shared" si="3"/>
        <v>0</v>
      </c>
      <c r="AD54" s="35">
        <f t="shared" si="4"/>
        <v>0</v>
      </c>
      <c r="AE54" s="35">
        <f t="shared" si="5"/>
        <v>0</v>
      </c>
      <c r="AF54" s="35">
        <f t="shared" si="6"/>
        <v>0</v>
      </c>
      <c r="AG54" s="35" t="str">
        <f t="shared" si="7"/>
        <v>No</v>
      </c>
      <c r="AH54" s="35" t="str">
        <f>IFERROR(__xludf.DUMMYFUNCTION("IFERROR(query(query(Data!A:BS,CONCATENATE(""select Col50, count(Col49) where Col1 = '"",C54,""' group by Col50"")), CONCATENATE(""select Col1 where Col2 = "",query(query(query(Data!A:BS,CONCATENATE(""select Col50, count(Col49) where Col1 = '"",C54,""' and"&amp;" Col50 &lt;&gt; 'Other' and Col50 is not null group by Col50"")),""select max(Col2)"",0),""Select *"",0),"" limit 1""),0))"),"")</f>
        <v/>
      </c>
      <c r="AI54" s="35" t="str">
        <f t="shared" si="8"/>
        <v/>
      </c>
      <c r="AJ54" s="35" t="str">
        <f t="shared" si="9"/>
        <v>No</v>
      </c>
      <c r="AK54" s="35" t="str">
        <f>IFERROR(__xludf.DUMMYFUNCTION("IFERROR(query(query(Data!A:BS,CONCATENATE(""select Col70, count(Col69) where Col1 = '"",C54,""' group by Col70"")), CONCATENATE(""select Col1 where Col2 = "",query(query(query(Data!A:BS,CONCATENATE(""select Col70, count(Col69) where Col1 = '"",C54,""' and"&amp;" Col70 &lt;&gt; 'Other' and Col70 is not null group by Col70"")),""select max(Col2)"",0),""Select *"",0),"" limit 1""),0))"),"")</f>
        <v/>
      </c>
      <c r="AL54" s="35" t="str">
        <f t="shared" si="10"/>
        <v/>
      </c>
      <c r="AM54" s="35"/>
      <c r="AN54" s="35"/>
      <c r="AO54" s="35"/>
      <c r="AP54" s="35"/>
      <c r="AQ54" s="35"/>
      <c r="AR54" s="35"/>
      <c r="AS54" s="35"/>
      <c r="AT54" s="35"/>
      <c r="AU54" s="35"/>
      <c r="AV54" s="35"/>
    </row>
    <row r="55">
      <c r="A55" s="25">
        <v>86.0</v>
      </c>
      <c r="B55" s="26" t="s">
        <v>206</v>
      </c>
      <c r="C55" s="27" t="s">
        <v>207</v>
      </c>
      <c r="D55" s="28" t="s">
        <v>207</v>
      </c>
      <c r="E55" s="28" t="s">
        <v>74</v>
      </c>
      <c r="F55" s="28" t="s">
        <v>74</v>
      </c>
      <c r="G55" s="28" t="s">
        <v>106</v>
      </c>
      <c r="H55" s="29">
        <v>6.257199618690892</v>
      </c>
      <c r="I55" s="30">
        <v>0.0</v>
      </c>
      <c r="J55" s="30">
        <v>9.392999046727232</v>
      </c>
      <c r="K55" s="30">
        <v>12.5</v>
      </c>
      <c r="L55" s="31">
        <v>0.8482857142857142</v>
      </c>
      <c r="M55" s="31">
        <v>10.000444444444446</v>
      </c>
      <c r="N55" s="31">
        <v>7.648666666666667</v>
      </c>
      <c r="O55" s="32" t="s">
        <v>54</v>
      </c>
      <c r="P55" s="32" t="s">
        <v>54</v>
      </c>
      <c r="Q55" s="32" t="s">
        <v>59</v>
      </c>
      <c r="R55" s="33" t="str">
        <f t="shared" si="1"/>
        <v>gob</v>
      </c>
      <c r="S55" s="34" t="str">
        <f>IFERROR(__xludf.DUMMYFUNCTION("IF(query(Data!A:M,CONCATENATE(""select Col13 where Col1 = '"",C55,""' and Col8 = 'Bias and Unfair Discrimination'""),0)&gt;70,1,0)"),"#REF!")</f>
        <v>#REF!</v>
      </c>
      <c r="T55" s="34" t="str">
        <f>IFERROR(__xludf.DUMMYFUNCTION("IF(query(Data!A:M,CONCATENATE(""select Col13 where Col1 = '"",C55,""' and Col8 = 'Childrens Rights'""),0)&gt;70,1,0)"),"#REF!")</f>
        <v>#REF!</v>
      </c>
      <c r="U55" s="34" t="str">
        <f>IFERROR(__xludf.DUMMYFUNCTION("IF(query(Data!A:M,CONCATENATE(""select Col13 where Col1 = '"",C55,""' and Col8 = 'Cultural and Linguistic Diversity'""),0)&gt;70,1,0)"),"#REF!")</f>
        <v>#REF!</v>
      </c>
      <c r="V55" s="34" t="str">
        <f>IFERROR(__xludf.DUMMYFUNCTION("IF(query(Data!A:M,CONCATENATE(""select Col13 where Col1 = '"",C55,""' and Col8 = 'Data Protection and Privacy'""),0)&gt;70,1,0)"),"#REF!")</f>
        <v>#REF!</v>
      </c>
      <c r="W55" s="34" t="str">
        <f>IFERROR(__xludf.DUMMYFUNCTION("IF(query(Data!A:M,CONCATENATE(""select Col13 where Col1 = '"",C55,""' and Col8 = 'Gender Equality'""),0)&gt;70,1,0)"),"#REF!")</f>
        <v>#REF!</v>
      </c>
      <c r="X55" s="34" t="str">
        <f>IFERROR(__xludf.DUMMYFUNCTION("IF(query(Data!A:M,CONCATENATE(""select Col13 where Col1 = '"",C55,""' and Col8 = 'Human Oversight and Determination'""),0)&gt;70,1,0)"),"#REF!")</f>
        <v>#REF!</v>
      </c>
      <c r="Y55" s="34" t="str">
        <f>IFERROR(__xludf.DUMMYFUNCTION("IF(query(Data!A:M,CONCATENATE(""select Col13 where Col1 = '"",C55,""' and Col8 = 'Labour Protection and Right to Work'""),0)&gt;70,1,0)"),"#REF!")</f>
        <v>#REF!</v>
      </c>
      <c r="Z55" s="34" t="str">
        <f>IFERROR(__xludf.DUMMYFUNCTION("IF(query(Data!A:M,CONCATENATE(""select Col13 where Col1 = '"",C55,""' and Col8 = 'Safety, Accuracy and Reliability'""),0)&gt;70,1,0)"),"#REF!")</f>
        <v>#REF!</v>
      </c>
      <c r="AA55" s="34" t="str">
        <f>IFERROR(__xludf.DUMMYFUNCTION("IF(query(Data!A:M,CONCATENATE(""select Col13 where Col1 = '"",C55,""' and Col8 = 'Transparency and Explainability'""),0)&gt;70,1,0)"),"#REF!")</f>
        <v>#REF!</v>
      </c>
      <c r="AB55" s="35">
        <f t="shared" si="2"/>
        <v>0</v>
      </c>
      <c r="AC55" s="35">
        <f t="shared" si="3"/>
        <v>0</v>
      </c>
      <c r="AD55" s="35">
        <f t="shared" si="4"/>
        <v>0</v>
      </c>
      <c r="AE55" s="35">
        <f t="shared" si="5"/>
        <v>0</v>
      </c>
      <c r="AF55" s="35">
        <f t="shared" si="6"/>
        <v>0</v>
      </c>
      <c r="AG55" s="35" t="str">
        <f t="shared" si="7"/>
        <v>No</v>
      </c>
      <c r="AH55" s="35" t="str">
        <f>IFERROR(__xludf.DUMMYFUNCTION("IFERROR(query(query(Data!A:BS,CONCATENATE(""select Col50, count(Col49) where Col1 = '"",C55,""' group by Col50"")), CONCATENATE(""select Col1 where Col2 = "",query(query(query(Data!A:BS,CONCATENATE(""select Col50, count(Col49) where Col1 = '"",C55,""' and"&amp;" Col50 &lt;&gt; 'Other' and Col50 is not null group by Col50"")),""select max(Col2)"",0),""Select *"",0),"" limit 1""),0))"),"")</f>
        <v/>
      </c>
      <c r="AI55" s="35" t="str">
        <f t="shared" si="8"/>
        <v/>
      </c>
      <c r="AJ55" s="35" t="str">
        <f t="shared" si="9"/>
        <v>No</v>
      </c>
      <c r="AK55" s="35" t="str">
        <f>IFERROR(__xludf.DUMMYFUNCTION("IFERROR(query(query(Data!A:BS,CONCATENATE(""select Col70, count(Col69) where Col1 = '"",C55,""' group by Col70"")), CONCATENATE(""select Col1 where Col2 = "",query(query(query(Data!A:BS,CONCATENATE(""select Col70, count(Col69) where Col1 = '"",C55,""' and"&amp;" Col70 &lt;&gt; 'Other' and Col70 is not null group by Col70"")),""select max(Col2)"",0),""Select *"",0),"" limit 1""),0))"),"")</f>
        <v/>
      </c>
      <c r="AL55" s="35" t="str">
        <f t="shared" si="10"/>
        <v/>
      </c>
      <c r="AM55" s="35"/>
      <c r="AN55" s="35"/>
      <c r="AO55" s="35"/>
      <c r="AP55" s="35"/>
      <c r="AQ55" s="35"/>
      <c r="AR55" s="35"/>
      <c r="AS55" s="35"/>
      <c r="AT55" s="35"/>
      <c r="AU55" s="35"/>
      <c r="AV55" s="35"/>
    </row>
    <row r="56">
      <c r="A56" s="25">
        <v>28.0</v>
      </c>
      <c r="B56" s="26" t="s">
        <v>208</v>
      </c>
      <c r="C56" s="27" t="s">
        <v>209</v>
      </c>
      <c r="D56" s="28" t="s">
        <v>210</v>
      </c>
      <c r="E56" s="28" t="s">
        <v>52</v>
      </c>
      <c r="F56" s="28" t="s">
        <v>52</v>
      </c>
      <c r="G56" s="28" t="s">
        <v>53</v>
      </c>
      <c r="H56" s="29">
        <v>35.856690406799316</v>
      </c>
      <c r="I56" s="30">
        <v>53.61221328534578</v>
      </c>
      <c r="J56" s="30">
        <v>21.350236415863037</v>
      </c>
      <c r="K56" s="30">
        <v>29.35855263157894</v>
      </c>
      <c r="L56" s="31">
        <v>31.14428571428571</v>
      </c>
      <c r="M56" s="31">
        <v>42.245888888888885</v>
      </c>
      <c r="N56" s="31">
        <v>27.686000000000003</v>
      </c>
      <c r="O56" s="32" t="s">
        <v>54</v>
      </c>
      <c r="P56" s="32" t="s">
        <v>54</v>
      </c>
      <c r="Q56" s="32" t="s">
        <v>59</v>
      </c>
      <c r="R56" s="33" t="str">
        <f t="shared" si="1"/>
        <v>gob</v>
      </c>
      <c r="S56" s="34" t="str">
        <f>IFERROR(__xludf.DUMMYFUNCTION("IF(query(Data!A:M,CONCATENATE(""select Col13 where Col1 = '"",C56,""' and Col8 = 'Bias and Unfair Discrimination'""),0)&gt;70,1,0)"),"#REF!")</f>
        <v>#REF!</v>
      </c>
      <c r="T56" s="34" t="str">
        <f>IFERROR(__xludf.DUMMYFUNCTION("IF(query(Data!A:M,CONCATENATE(""select Col13 where Col1 = '"",C56,""' and Col8 = 'Childrens Rights'""),0)&gt;70,1,0)"),"#REF!")</f>
        <v>#REF!</v>
      </c>
      <c r="U56" s="34" t="str">
        <f>IFERROR(__xludf.DUMMYFUNCTION("IF(query(Data!A:M,CONCATENATE(""select Col13 where Col1 = '"",C56,""' and Col8 = 'Cultural and Linguistic Diversity'""),0)&gt;70,1,0)"),"#REF!")</f>
        <v>#REF!</v>
      </c>
      <c r="V56" s="34" t="str">
        <f>IFERROR(__xludf.DUMMYFUNCTION("IF(query(Data!A:M,CONCATENATE(""select Col13 where Col1 = '"",C56,""' and Col8 = 'Data Protection and Privacy'""),0)&gt;70,1,0)"),"#REF!")</f>
        <v>#REF!</v>
      </c>
      <c r="W56" s="34" t="str">
        <f>IFERROR(__xludf.DUMMYFUNCTION("IF(query(Data!A:M,CONCATENATE(""select Col13 where Col1 = '"",C56,""' and Col8 = 'Gender Equality'""),0)&gt;70,1,0)"),"#REF!")</f>
        <v>#REF!</v>
      </c>
      <c r="X56" s="34" t="str">
        <f>IFERROR(__xludf.DUMMYFUNCTION("IF(query(Data!A:M,CONCATENATE(""select Col13 where Col1 = '"",C56,""' and Col8 = 'Human Oversight and Determination'""),0)&gt;70,1,0)"),"#REF!")</f>
        <v>#REF!</v>
      </c>
      <c r="Y56" s="34" t="str">
        <f>IFERROR(__xludf.DUMMYFUNCTION("IF(query(Data!A:M,CONCATENATE(""select Col13 where Col1 = '"",C56,""' and Col8 = 'Labour Protection and Right to Work'""),0)&gt;70,1,0)"),"#REF!")</f>
        <v>#REF!</v>
      </c>
      <c r="Z56" s="34" t="str">
        <f>IFERROR(__xludf.DUMMYFUNCTION("IF(query(Data!A:M,CONCATENATE(""select Col13 where Col1 = '"",C56,""' and Col8 = 'Safety, Accuracy and Reliability'""),0)&gt;70,1,0)"),"#REF!")</f>
        <v>#REF!</v>
      </c>
      <c r="AA56" s="34" t="str">
        <f>IFERROR(__xludf.DUMMYFUNCTION("IF(query(Data!A:M,CONCATENATE(""select Col13 where Col1 = '"",C56,""' and Col8 = 'Transparency and Explainability'""),0)&gt;70,1,0)"),"#REF!")</f>
        <v>#REF!</v>
      </c>
      <c r="AB56" s="35">
        <f t="shared" si="2"/>
        <v>0</v>
      </c>
      <c r="AC56" s="35">
        <f t="shared" si="3"/>
        <v>0</v>
      </c>
      <c r="AD56" s="35">
        <f t="shared" si="4"/>
        <v>0</v>
      </c>
      <c r="AE56" s="35">
        <f t="shared" si="5"/>
        <v>0</v>
      </c>
      <c r="AF56" s="35">
        <f t="shared" si="6"/>
        <v>0</v>
      </c>
      <c r="AG56" s="35" t="str">
        <f t="shared" si="7"/>
        <v>No</v>
      </c>
      <c r="AH56" s="35" t="str">
        <f>IFERROR(__xludf.DUMMYFUNCTION("IFERROR(query(query(Data!A:BS,CONCATENATE(""select Col50, count(Col49) where Col1 = '"",C56,""' group by Col50"")), CONCATENATE(""select Col1 where Col2 = "",query(query(query(Data!A:BS,CONCATENATE(""select Col50, count(Col49) where Col1 = '"",C56,""' and"&amp;" Col50 &lt;&gt; 'Other' and Col50 is not null group by Col50"")),""select max(Col2)"",0),""Select *"",0),"" limit 1""),0))"),"")</f>
        <v/>
      </c>
      <c r="AI56" s="35" t="str">
        <f t="shared" si="8"/>
        <v/>
      </c>
      <c r="AJ56" s="35" t="str">
        <f t="shared" si="9"/>
        <v>No</v>
      </c>
      <c r="AK56" s="35" t="str">
        <f>IFERROR(__xludf.DUMMYFUNCTION("IFERROR(query(query(Data!A:BS,CONCATENATE(""select Col70, count(Col69) where Col1 = '"",C56,""' group by Col70"")), CONCATENATE(""select Col1 where Col2 = "",query(query(query(Data!A:BS,CONCATENATE(""select Col70, count(Col69) where Col1 = '"",C56,""' and"&amp;" Col70 &lt;&gt; 'Other' and Col70 is not null group by Col70"")),""select max(Col2)"",0),""Select *"",0),"" limit 1""),0))"),"")</f>
        <v/>
      </c>
      <c r="AL56" s="35" t="str">
        <f t="shared" si="10"/>
        <v/>
      </c>
      <c r="AM56" s="35"/>
      <c r="AN56" s="35"/>
      <c r="AO56" s="35"/>
      <c r="AP56" s="35"/>
      <c r="AQ56" s="35"/>
      <c r="AR56" s="35"/>
      <c r="AS56" s="35"/>
      <c r="AT56" s="35"/>
      <c r="AU56" s="35"/>
      <c r="AV56" s="35"/>
    </row>
    <row r="57">
      <c r="A57" s="25">
        <v>118.0</v>
      </c>
      <c r="B57" s="26" t="s">
        <v>211</v>
      </c>
      <c r="C57" s="27" t="s">
        <v>212</v>
      </c>
      <c r="D57" s="28" t="s">
        <v>212</v>
      </c>
      <c r="E57" s="28" t="s">
        <v>79</v>
      </c>
      <c r="F57" s="28" t="s">
        <v>64</v>
      </c>
      <c r="G57" s="28" t="s">
        <v>65</v>
      </c>
      <c r="H57" s="29">
        <v>1.4174528312683108</v>
      </c>
      <c r="I57" s="30">
        <v>0.0</v>
      </c>
      <c r="J57" s="30">
        <v>3.5436320781707766</v>
      </c>
      <c r="K57" s="30">
        <v>0.0</v>
      </c>
      <c r="L57" s="31">
        <v>2.025</v>
      </c>
      <c r="M57" s="31">
        <v>0.0</v>
      </c>
      <c r="N57" s="31">
        <v>4.2523333333333335</v>
      </c>
      <c r="O57" s="32" t="s">
        <v>76</v>
      </c>
      <c r="P57" s="32" t="s">
        <v>49</v>
      </c>
      <c r="Q57" s="32" t="s">
        <v>54</v>
      </c>
      <c r="R57" s="33" t="str">
        <f t="shared" si="1"/>
        <v>cap</v>
      </c>
      <c r="S57" s="34" t="str">
        <f>IFERROR(__xludf.DUMMYFUNCTION("IF(query(Data!A:M,CONCATENATE(""select Col13 where Col1 = '"",C57,""' and Col8 = 'Bias and Unfair Discrimination'""),0)&gt;70,1,0)"),"#REF!")</f>
        <v>#REF!</v>
      </c>
      <c r="T57" s="34" t="str">
        <f>IFERROR(__xludf.DUMMYFUNCTION("IF(query(Data!A:M,CONCATENATE(""select Col13 where Col1 = '"",C57,""' and Col8 = 'Childrens Rights'""),0)&gt;70,1,0)"),"#REF!")</f>
        <v>#REF!</v>
      </c>
      <c r="U57" s="34" t="str">
        <f>IFERROR(__xludf.DUMMYFUNCTION("IF(query(Data!A:M,CONCATENATE(""select Col13 where Col1 = '"",C57,""' and Col8 = 'Cultural and Linguistic Diversity'""),0)&gt;70,1,0)"),"#REF!")</f>
        <v>#REF!</v>
      </c>
      <c r="V57" s="34" t="str">
        <f>IFERROR(__xludf.DUMMYFUNCTION("IF(query(Data!A:M,CONCATENATE(""select Col13 where Col1 = '"",C57,""' and Col8 = 'Data Protection and Privacy'""),0)&gt;70,1,0)"),"#REF!")</f>
        <v>#REF!</v>
      </c>
      <c r="W57" s="34" t="str">
        <f>IFERROR(__xludf.DUMMYFUNCTION("IF(query(Data!A:M,CONCATENATE(""select Col13 where Col1 = '"",C57,""' and Col8 = 'Gender Equality'""),0)&gt;70,1,0)"),"#REF!")</f>
        <v>#REF!</v>
      </c>
      <c r="X57" s="34" t="str">
        <f>IFERROR(__xludf.DUMMYFUNCTION("IF(query(Data!A:M,CONCATENATE(""select Col13 where Col1 = '"",C57,""' and Col8 = 'Human Oversight and Determination'""),0)&gt;70,1,0)"),"#REF!")</f>
        <v>#REF!</v>
      </c>
      <c r="Y57" s="34" t="str">
        <f>IFERROR(__xludf.DUMMYFUNCTION("IF(query(Data!A:M,CONCATENATE(""select Col13 where Col1 = '"",C57,""' and Col8 = 'Labour Protection and Right to Work'""),0)&gt;70,1,0)"),"#REF!")</f>
        <v>#REF!</v>
      </c>
      <c r="Z57" s="34" t="str">
        <f>IFERROR(__xludf.DUMMYFUNCTION("IF(query(Data!A:M,CONCATENATE(""select Col13 where Col1 = '"",C57,""' and Col8 = 'Safety, Accuracy and Reliability'""),0)&gt;70,1,0)"),"#REF!")</f>
        <v>#REF!</v>
      </c>
      <c r="AA57" s="34" t="str">
        <f>IFERROR(__xludf.DUMMYFUNCTION("IF(query(Data!A:M,CONCATENATE(""select Col13 where Col1 = '"",C57,""' and Col8 = 'Transparency and Explainability'""),0)&gt;70,1,0)"),"#REF!")</f>
        <v>#REF!</v>
      </c>
      <c r="AB57" s="35">
        <f t="shared" si="2"/>
        <v>0</v>
      </c>
      <c r="AC57" s="35">
        <f t="shared" si="3"/>
        <v>0</v>
      </c>
      <c r="AD57" s="35">
        <f t="shared" si="4"/>
        <v>0</v>
      </c>
      <c r="AE57" s="35">
        <f t="shared" si="5"/>
        <v>0</v>
      </c>
      <c r="AF57" s="35">
        <f t="shared" si="6"/>
        <v>0</v>
      </c>
      <c r="AG57" s="35" t="str">
        <f t="shared" si="7"/>
        <v>No</v>
      </c>
      <c r="AH57" s="35" t="str">
        <f>IFERROR(__xludf.DUMMYFUNCTION("IFERROR(query(query(Data!A:BS,CONCATENATE(""select Col50, count(Col49) where Col1 = '"",C57,""' group by Col50"")), CONCATENATE(""select Col1 where Col2 = "",query(query(query(Data!A:BS,CONCATENATE(""select Col50, count(Col49) where Col1 = '"",C57,""' and"&amp;" Col50 &lt;&gt; 'Other' and Col50 is not null group by Col50"")),""select max(Col2)"",0),""Select *"",0),"" limit 1""),0))"),"")</f>
        <v/>
      </c>
      <c r="AI57" s="35" t="str">
        <f t="shared" si="8"/>
        <v/>
      </c>
      <c r="AJ57" s="35" t="str">
        <f t="shared" si="9"/>
        <v>No</v>
      </c>
      <c r="AK57" s="35" t="str">
        <f>IFERROR(__xludf.DUMMYFUNCTION("IFERROR(query(query(Data!A:BS,CONCATENATE(""select Col70, count(Col69) where Col1 = '"",C57,""' group by Col70"")), CONCATENATE(""select Col1 where Col2 = "",query(query(query(Data!A:BS,CONCATENATE(""select Col70, count(Col69) where Col1 = '"",C57,""' and"&amp;" Col70 &lt;&gt; 'Other' and Col70 is not null group by Col70"")),""select max(Col2)"",0),""Select *"",0),"" limit 1""),0))"),"")</f>
        <v/>
      </c>
      <c r="AL57" s="35" t="str">
        <f t="shared" si="10"/>
        <v/>
      </c>
      <c r="AM57" s="35"/>
      <c r="AN57" s="35"/>
      <c r="AO57" s="35"/>
      <c r="AP57" s="35"/>
      <c r="AQ57" s="35"/>
      <c r="AR57" s="35"/>
      <c r="AS57" s="35"/>
      <c r="AT57" s="35"/>
      <c r="AU57" s="35"/>
      <c r="AV57" s="35"/>
    </row>
    <row r="58">
      <c r="A58" s="25">
        <v>128.0</v>
      </c>
      <c r="B58" s="26" t="s">
        <v>213</v>
      </c>
      <c r="C58" s="27" t="s">
        <v>214</v>
      </c>
      <c r="D58" s="28" t="s">
        <v>214</v>
      </c>
      <c r="E58" s="28" t="s">
        <v>74</v>
      </c>
      <c r="F58" s="28" t="s">
        <v>74</v>
      </c>
      <c r="G58" s="28" t="s">
        <v>106</v>
      </c>
      <c r="H58" s="29">
        <v>0.7149950408935547</v>
      </c>
      <c r="I58" s="30">
        <v>0.0</v>
      </c>
      <c r="J58" s="30">
        <v>1.7874876022338866</v>
      </c>
      <c r="K58" s="30">
        <v>0.0</v>
      </c>
      <c r="L58" s="31">
        <v>0.0</v>
      </c>
      <c r="M58" s="31">
        <v>0.0</v>
      </c>
      <c r="N58" s="31">
        <v>4.528333333333333</v>
      </c>
      <c r="O58" s="32" t="s">
        <v>49</v>
      </c>
      <c r="P58" s="32" t="s">
        <v>49</v>
      </c>
      <c r="Q58" s="32" t="s">
        <v>80</v>
      </c>
      <c r="R58" s="33" t="str">
        <f t="shared" si="1"/>
        <v>cap</v>
      </c>
      <c r="S58" s="34" t="str">
        <f>IFERROR(__xludf.DUMMYFUNCTION("IF(query(Data!A:M,CONCATENATE(""select Col13 where Col1 = '"",C58,""' and Col8 = 'Bias and Unfair Discrimination'""),0)&gt;70,1,0)"),"#REF!")</f>
        <v>#REF!</v>
      </c>
      <c r="T58" s="34" t="str">
        <f>IFERROR(__xludf.DUMMYFUNCTION("IF(query(Data!A:M,CONCATENATE(""select Col13 where Col1 = '"",C58,""' and Col8 = 'Childrens Rights'""),0)&gt;70,1,0)"),"#REF!")</f>
        <v>#REF!</v>
      </c>
      <c r="U58" s="34" t="str">
        <f>IFERROR(__xludf.DUMMYFUNCTION("IF(query(Data!A:M,CONCATENATE(""select Col13 where Col1 = '"",C58,""' and Col8 = 'Cultural and Linguistic Diversity'""),0)&gt;70,1,0)"),"#REF!")</f>
        <v>#REF!</v>
      </c>
      <c r="V58" s="34" t="str">
        <f>IFERROR(__xludf.DUMMYFUNCTION("IF(query(Data!A:M,CONCATENATE(""select Col13 where Col1 = '"",C58,""' and Col8 = 'Data Protection and Privacy'""),0)&gt;70,1,0)"),"#REF!")</f>
        <v>#REF!</v>
      </c>
      <c r="W58" s="34" t="str">
        <f>IFERROR(__xludf.DUMMYFUNCTION("IF(query(Data!A:M,CONCATENATE(""select Col13 where Col1 = '"",C58,""' and Col8 = 'Gender Equality'""),0)&gt;70,1,0)"),"#REF!")</f>
        <v>#REF!</v>
      </c>
      <c r="X58" s="34" t="str">
        <f>IFERROR(__xludf.DUMMYFUNCTION("IF(query(Data!A:M,CONCATENATE(""select Col13 where Col1 = '"",C58,""' and Col8 = 'Human Oversight and Determination'""),0)&gt;70,1,0)"),"#REF!")</f>
        <v>#REF!</v>
      </c>
      <c r="Y58" s="34" t="str">
        <f>IFERROR(__xludf.DUMMYFUNCTION("IF(query(Data!A:M,CONCATENATE(""select Col13 where Col1 = '"",C58,""' and Col8 = 'Labour Protection and Right to Work'""),0)&gt;70,1,0)"),"#REF!")</f>
        <v>#REF!</v>
      </c>
      <c r="Z58" s="34" t="str">
        <f>IFERROR(__xludf.DUMMYFUNCTION("IF(query(Data!A:M,CONCATENATE(""select Col13 where Col1 = '"",C58,""' and Col8 = 'Safety, Accuracy and Reliability'""),0)&gt;70,1,0)"),"#REF!")</f>
        <v>#REF!</v>
      </c>
      <c r="AA58" s="34" t="str">
        <f>IFERROR(__xludf.DUMMYFUNCTION("IF(query(Data!A:M,CONCATENATE(""select Col13 where Col1 = '"",C58,""' and Col8 = 'Transparency and Explainability'""),0)&gt;70,1,0)"),"#REF!")</f>
        <v>#REF!</v>
      </c>
      <c r="AB58" s="35">
        <f t="shared" si="2"/>
        <v>0</v>
      </c>
      <c r="AC58" s="35">
        <f t="shared" si="3"/>
        <v>0</v>
      </c>
      <c r="AD58" s="35">
        <f t="shared" si="4"/>
        <v>0</v>
      </c>
      <c r="AE58" s="35">
        <f t="shared" si="5"/>
        <v>0</v>
      </c>
      <c r="AF58" s="35">
        <f t="shared" si="6"/>
        <v>0</v>
      </c>
      <c r="AG58" s="35" t="str">
        <f t="shared" si="7"/>
        <v>No</v>
      </c>
      <c r="AH58" s="35" t="str">
        <f>IFERROR(__xludf.DUMMYFUNCTION("IFERROR(query(query(Data!A:BS,CONCATENATE(""select Col50, count(Col49) where Col1 = '"",C58,""' group by Col50"")), CONCATENATE(""select Col1 where Col2 = "",query(query(query(Data!A:BS,CONCATENATE(""select Col50, count(Col49) where Col1 = '"",C58,""' and"&amp;" Col50 &lt;&gt; 'Other' and Col50 is not null group by Col50"")),""select max(Col2)"",0),""Select *"",0),"" limit 1""),0))"),"")</f>
        <v/>
      </c>
      <c r="AI58" s="35" t="str">
        <f t="shared" si="8"/>
        <v/>
      </c>
      <c r="AJ58" s="35" t="str">
        <f t="shared" si="9"/>
        <v>No</v>
      </c>
      <c r="AK58" s="35" t="str">
        <f>IFERROR(__xludf.DUMMYFUNCTION("IFERROR(query(query(Data!A:BS,CONCATENATE(""select Col70, count(Col69) where Col1 = '"",C58,""' group by Col70"")), CONCATENATE(""select Col1 where Col2 = "",query(query(query(Data!A:BS,CONCATENATE(""select Col70, count(Col69) where Col1 = '"",C58,""' and"&amp;" Col70 &lt;&gt; 'Other' and Col70 is not null group by Col70"")),""select max(Col2)"",0),""Select *"",0),"" limit 1""),0))"),"")</f>
        <v/>
      </c>
      <c r="AL58" s="35" t="str">
        <f t="shared" si="10"/>
        <v/>
      </c>
      <c r="AM58" s="35"/>
      <c r="AN58" s="35"/>
      <c r="AO58" s="35"/>
      <c r="AP58" s="35"/>
      <c r="AQ58" s="35"/>
      <c r="AR58" s="35"/>
      <c r="AS58" s="35"/>
      <c r="AT58" s="35"/>
      <c r="AU58" s="35"/>
      <c r="AV58" s="35"/>
    </row>
    <row r="59">
      <c r="A59" s="25">
        <v>89.0</v>
      </c>
      <c r="B59" s="26" t="s">
        <v>215</v>
      </c>
      <c r="C59" s="27" t="s">
        <v>216</v>
      </c>
      <c r="D59" s="28" t="s">
        <v>216</v>
      </c>
      <c r="E59" s="28" t="s">
        <v>63</v>
      </c>
      <c r="F59" s="28" t="s">
        <v>64</v>
      </c>
      <c r="G59" s="28" t="s">
        <v>65</v>
      </c>
      <c r="H59" s="29">
        <v>5.415725337246008</v>
      </c>
      <c r="I59" s="30">
        <v>0.0</v>
      </c>
      <c r="J59" s="30">
        <v>2.7594339571501076</v>
      </c>
      <c r="K59" s="30">
        <v>21.559758771929825</v>
      </c>
      <c r="L59" s="31">
        <v>4.501428571428571</v>
      </c>
      <c r="M59" s="31">
        <v>3.501111111111111</v>
      </c>
      <c r="N59" s="31">
        <v>13.292666666666667</v>
      </c>
      <c r="O59" s="32" t="s">
        <v>80</v>
      </c>
      <c r="P59" s="32" t="s">
        <v>80</v>
      </c>
      <c r="Q59" s="32" t="s">
        <v>59</v>
      </c>
      <c r="R59" s="33" t="str">
        <f t="shared" si="1"/>
        <v>cap</v>
      </c>
      <c r="S59" s="34" t="str">
        <f>IFERROR(__xludf.DUMMYFUNCTION("IF(query(Data!A:M,CONCATENATE(""select Col13 where Col1 = '"",C59,""' and Col8 = 'Bias and Unfair Discrimination'""),0)&gt;70,1,0)"),"#REF!")</f>
        <v>#REF!</v>
      </c>
      <c r="T59" s="34" t="str">
        <f>IFERROR(__xludf.DUMMYFUNCTION("IF(query(Data!A:M,CONCATENATE(""select Col13 where Col1 = '"",C59,""' and Col8 = 'Childrens Rights'""),0)&gt;70,1,0)"),"#REF!")</f>
        <v>#REF!</v>
      </c>
      <c r="U59" s="34" t="str">
        <f>IFERROR(__xludf.DUMMYFUNCTION("IF(query(Data!A:M,CONCATENATE(""select Col13 where Col1 = '"",C59,""' and Col8 = 'Cultural and Linguistic Diversity'""),0)&gt;70,1,0)"),"#REF!")</f>
        <v>#REF!</v>
      </c>
      <c r="V59" s="34" t="str">
        <f>IFERROR(__xludf.DUMMYFUNCTION("IF(query(Data!A:M,CONCATENATE(""select Col13 where Col1 = '"",C59,""' and Col8 = 'Data Protection and Privacy'""),0)&gt;70,1,0)"),"#REF!")</f>
        <v>#REF!</v>
      </c>
      <c r="W59" s="34" t="str">
        <f>IFERROR(__xludf.DUMMYFUNCTION("IF(query(Data!A:M,CONCATENATE(""select Col13 where Col1 = '"",C59,""' and Col8 = 'Gender Equality'""),0)&gt;70,1,0)"),"#REF!")</f>
        <v>#REF!</v>
      </c>
      <c r="X59" s="34" t="str">
        <f>IFERROR(__xludf.DUMMYFUNCTION("IF(query(Data!A:M,CONCATENATE(""select Col13 where Col1 = '"",C59,""' and Col8 = 'Human Oversight and Determination'""),0)&gt;70,1,0)"),"#REF!")</f>
        <v>#REF!</v>
      </c>
      <c r="Y59" s="34" t="str">
        <f>IFERROR(__xludf.DUMMYFUNCTION("IF(query(Data!A:M,CONCATENATE(""select Col13 where Col1 = '"",C59,""' and Col8 = 'Labour Protection and Right to Work'""),0)&gt;70,1,0)"),"#REF!")</f>
        <v>#REF!</v>
      </c>
      <c r="Z59" s="34" t="str">
        <f>IFERROR(__xludf.DUMMYFUNCTION("IF(query(Data!A:M,CONCATENATE(""select Col13 where Col1 = '"",C59,""' and Col8 = 'Safety, Accuracy and Reliability'""),0)&gt;70,1,0)"),"#REF!")</f>
        <v>#REF!</v>
      </c>
      <c r="AA59" s="34" t="str">
        <f>IFERROR(__xludf.DUMMYFUNCTION("IF(query(Data!A:M,CONCATENATE(""select Col13 where Col1 = '"",C59,""' and Col8 = 'Transparency and Explainability'""),0)&gt;70,1,0)"),"#REF!")</f>
        <v>#REF!</v>
      </c>
      <c r="AB59" s="35">
        <f t="shared" si="2"/>
        <v>0</v>
      </c>
      <c r="AC59" s="35">
        <f t="shared" si="3"/>
        <v>0</v>
      </c>
      <c r="AD59" s="35">
        <f t="shared" si="4"/>
        <v>0</v>
      </c>
      <c r="AE59" s="35">
        <f t="shared" si="5"/>
        <v>0</v>
      </c>
      <c r="AF59" s="35">
        <f t="shared" si="6"/>
        <v>0</v>
      </c>
      <c r="AG59" s="35" t="str">
        <f t="shared" si="7"/>
        <v>No</v>
      </c>
      <c r="AH59" s="35" t="str">
        <f>IFERROR(__xludf.DUMMYFUNCTION("IFERROR(query(query(Data!A:BS,CONCATENATE(""select Col50, count(Col49) where Col1 = '"",C59,""' group by Col50"")), CONCATENATE(""select Col1 where Col2 = "",query(query(query(Data!A:BS,CONCATENATE(""select Col50, count(Col49) where Col1 = '"",C59,""' and"&amp;" Col50 &lt;&gt; 'Other' and Col50 is not null group by Col50"")),""select max(Col2)"",0),""Select *"",0),"" limit 1""),0))"),"")</f>
        <v/>
      </c>
      <c r="AI59" s="35" t="str">
        <f t="shared" si="8"/>
        <v/>
      </c>
      <c r="AJ59" s="35" t="str">
        <f t="shared" si="9"/>
        <v>No</v>
      </c>
      <c r="AK59" s="35" t="str">
        <f>IFERROR(__xludf.DUMMYFUNCTION("IFERROR(query(query(Data!A:BS,CONCATENATE(""select Col70, count(Col69) where Col1 = '"",C59,""' group by Col70"")), CONCATENATE(""select Col1 where Col2 = "",query(query(query(Data!A:BS,CONCATENATE(""select Col70, count(Col69) where Col1 = '"",C59,""' and"&amp;" Col70 &lt;&gt; 'Other' and Col70 is not null group by Col70"")),""select max(Col2)"",0),""Select *"",0),"" limit 1""),0))"),"")</f>
        <v/>
      </c>
      <c r="AL59" s="35" t="str">
        <f t="shared" si="10"/>
        <v/>
      </c>
      <c r="AM59" s="35"/>
      <c r="AN59" s="35"/>
      <c r="AO59" s="35"/>
      <c r="AP59" s="35"/>
      <c r="AQ59" s="35"/>
      <c r="AR59" s="35"/>
      <c r="AS59" s="35"/>
      <c r="AT59" s="35"/>
      <c r="AU59" s="35"/>
      <c r="AV59" s="35"/>
    </row>
    <row r="60">
      <c r="A60" s="25">
        <v>129.0</v>
      </c>
      <c r="B60" s="26" t="s">
        <v>217</v>
      </c>
      <c r="C60" s="27" t="s">
        <v>218</v>
      </c>
      <c r="D60" s="28" t="s">
        <v>219</v>
      </c>
      <c r="E60" s="28" t="s">
        <v>63</v>
      </c>
      <c r="F60" s="28" t="s">
        <v>64</v>
      </c>
      <c r="G60" s="28" t="s">
        <v>65</v>
      </c>
      <c r="H60" s="29">
        <v>0.7146226412057876</v>
      </c>
      <c r="I60" s="30">
        <v>0.0</v>
      </c>
      <c r="J60" s="30">
        <v>1.29313555038289</v>
      </c>
      <c r="K60" s="30">
        <v>0.9868421052631577</v>
      </c>
      <c r="L60" s="31">
        <v>0.0</v>
      </c>
      <c r="M60" s="31">
        <v>0.0</v>
      </c>
      <c r="N60" s="31">
        <v>4.526</v>
      </c>
      <c r="O60" s="32" t="s">
        <v>49</v>
      </c>
      <c r="P60" s="32" t="s">
        <v>49</v>
      </c>
      <c r="Q60" s="32" t="s">
        <v>80</v>
      </c>
      <c r="R60" s="33" t="str">
        <f t="shared" si="1"/>
        <v>cap</v>
      </c>
      <c r="S60" s="34" t="str">
        <f>IFERROR(__xludf.DUMMYFUNCTION("IF(query(Data!A:M,CONCATENATE(""select Col13 where Col1 = '"",C60,""' and Col8 = 'Bias and Unfair Discrimination'""),0)&gt;70,1,0)"),"#REF!")</f>
        <v>#REF!</v>
      </c>
      <c r="T60" s="34" t="str">
        <f>IFERROR(__xludf.DUMMYFUNCTION("IF(query(Data!A:M,CONCATENATE(""select Col13 where Col1 = '"",C60,""' and Col8 = 'Childrens Rights'""),0)&gt;70,1,0)"),"#REF!")</f>
        <v>#REF!</v>
      </c>
      <c r="U60" s="34" t="str">
        <f>IFERROR(__xludf.DUMMYFUNCTION("IF(query(Data!A:M,CONCATENATE(""select Col13 where Col1 = '"",C60,""' and Col8 = 'Cultural and Linguistic Diversity'""),0)&gt;70,1,0)"),"#REF!")</f>
        <v>#REF!</v>
      </c>
      <c r="V60" s="34" t="str">
        <f>IFERROR(__xludf.DUMMYFUNCTION("IF(query(Data!A:M,CONCATENATE(""select Col13 where Col1 = '"",C60,""' and Col8 = 'Data Protection and Privacy'""),0)&gt;70,1,0)"),"#REF!")</f>
        <v>#REF!</v>
      </c>
      <c r="W60" s="34" t="str">
        <f>IFERROR(__xludf.DUMMYFUNCTION("IF(query(Data!A:M,CONCATENATE(""select Col13 where Col1 = '"",C60,""' and Col8 = 'Gender Equality'""),0)&gt;70,1,0)"),"#REF!")</f>
        <v>#REF!</v>
      </c>
      <c r="X60" s="34" t="str">
        <f>IFERROR(__xludf.DUMMYFUNCTION("IF(query(Data!A:M,CONCATENATE(""select Col13 where Col1 = '"",C60,""' and Col8 = 'Human Oversight and Determination'""),0)&gt;70,1,0)"),"#REF!")</f>
        <v>#REF!</v>
      </c>
      <c r="Y60" s="34" t="str">
        <f>IFERROR(__xludf.DUMMYFUNCTION("IF(query(Data!A:M,CONCATENATE(""select Col13 where Col1 = '"",C60,""' and Col8 = 'Labour Protection and Right to Work'""),0)&gt;70,1,0)"),"#REF!")</f>
        <v>#REF!</v>
      </c>
      <c r="Z60" s="34" t="str">
        <f>IFERROR(__xludf.DUMMYFUNCTION("IF(query(Data!A:M,CONCATENATE(""select Col13 where Col1 = '"",C60,""' and Col8 = 'Safety, Accuracy and Reliability'""),0)&gt;70,1,0)"),"#REF!")</f>
        <v>#REF!</v>
      </c>
      <c r="AA60" s="34" t="str">
        <f>IFERROR(__xludf.DUMMYFUNCTION("IF(query(Data!A:M,CONCATENATE(""select Col13 where Col1 = '"",C60,""' and Col8 = 'Transparency and Explainability'""),0)&gt;70,1,0)"),"#REF!")</f>
        <v>#REF!</v>
      </c>
      <c r="AB60" s="35">
        <f t="shared" si="2"/>
        <v>0</v>
      </c>
      <c r="AC60" s="35">
        <f t="shared" si="3"/>
        <v>0</v>
      </c>
      <c r="AD60" s="35">
        <f t="shared" si="4"/>
        <v>0</v>
      </c>
      <c r="AE60" s="35">
        <f t="shared" si="5"/>
        <v>0</v>
      </c>
      <c r="AF60" s="35">
        <f t="shared" si="6"/>
        <v>0</v>
      </c>
      <c r="AG60" s="35" t="str">
        <f t="shared" si="7"/>
        <v>No</v>
      </c>
      <c r="AH60" s="35" t="str">
        <f>IFERROR(__xludf.DUMMYFUNCTION("IFERROR(query(query(Data!A:BS,CONCATENATE(""select Col50, count(Col49) where Col1 = '"",C60,""' group by Col50"")), CONCATENATE(""select Col1 where Col2 = "",query(query(query(Data!A:BS,CONCATENATE(""select Col50, count(Col49) where Col1 = '"",C60,""' and"&amp;" Col50 &lt;&gt; 'Other' and Col50 is not null group by Col50"")),""select max(Col2)"",0),""Select *"",0),"" limit 1""),0))"),"")</f>
        <v/>
      </c>
      <c r="AI60" s="35" t="str">
        <f t="shared" si="8"/>
        <v/>
      </c>
      <c r="AJ60" s="35" t="str">
        <f t="shared" si="9"/>
        <v>No</v>
      </c>
      <c r="AK60" s="35" t="str">
        <f>IFERROR(__xludf.DUMMYFUNCTION("IFERROR(query(query(Data!A:BS,CONCATENATE(""select Col70, count(Col69) where Col1 = '"",C60,""' group by Col70"")), CONCATENATE(""select Col1 where Col2 = "",query(query(query(Data!A:BS,CONCATENATE(""select Col70, count(Col69) where Col1 = '"",C60,""' and"&amp;" Col70 &lt;&gt; 'Other' and Col70 is not null group by Col70"")),""select max(Col2)"",0),""Select *"",0),"" limit 1""),0))"),"")</f>
        <v/>
      </c>
      <c r="AL60" s="35" t="str">
        <f t="shared" si="10"/>
        <v/>
      </c>
      <c r="AM60" s="35"/>
      <c r="AN60" s="35"/>
      <c r="AO60" s="35"/>
      <c r="AP60" s="35"/>
      <c r="AQ60" s="35"/>
      <c r="AR60" s="35"/>
      <c r="AS60" s="35"/>
      <c r="AT60" s="35"/>
      <c r="AU60" s="35"/>
      <c r="AV60" s="35"/>
    </row>
    <row r="61">
      <c r="A61" s="25">
        <v>127.0</v>
      </c>
      <c r="B61" s="26" t="s">
        <v>220</v>
      </c>
      <c r="C61" s="27" t="s">
        <v>221</v>
      </c>
      <c r="D61" s="28" t="s">
        <v>221</v>
      </c>
      <c r="E61" s="28" t="s">
        <v>79</v>
      </c>
      <c r="F61" s="28" t="s">
        <v>64</v>
      </c>
      <c r="G61" s="28" t="s">
        <v>65</v>
      </c>
      <c r="H61" s="29">
        <v>0.7451588811372456</v>
      </c>
      <c r="I61" s="30">
        <v>0.0</v>
      </c>
      <c r="J61" s="30">
        <v>1.8628972028431139</v>
      </c>
      <c r="K61" s="30">
        <v>0.0</v>
      </c>
      <c r="L61" s="31">
        <v>0.0</v>
      </c>
      <c r="M61" s="31">
        <v>0.0</v>
      </c>
      <c r="N61" s="31">
        <v>4.719333333333333</v>
      </c>
      <c r="O61" s="32" t="s">
        <v>76</v>
      </c>
      <c r="P61" s="32" t="s">
        <v>49</v>
      </c>
      <c r="Q61" s="32" t="s">
        <v>54</v>
      </c>
      <c r="R61" s="33" t="str">
        <f t="shared" si="1"/>
        <v>cap</v>
      </c>
      <c r="S61" s="34" t="str">
        <f>IFERROR(__xludf.DUMMYFUNCTION("IF(query(Data!A:M,CONCATENATE(""select Col13 where Col1 = '"",C61,""' and Col8 = 'Bias and Unfair Discrimination'""),0)&gt;70,1,0)"),"#REF!")</f>
        <v>#REF!</v>
      </c>
      <c r="T61" s="34" t="str">
        <f>IFERROR(__xludf.DUMMYFUNCTION("IF(query(Data!A:M,CONCATENATE(""select Col13 where Col1 = '"",C61,""' and Col8 = 'Childrens Rights'""),0)&gt;70,1,0)"),"#REF!")</f>
        <v>#REF!</v>
      </c>
      <c r="U61" s="34" t="str">
        <f>IFERROR(__xludf.DUMMYFUNCTION("IF(query(Data!A:M,CONCATENATE(""select Col13 where Col1 = '"",C61,""' and Col8 = 'Cultural and Linguistic Diversity'""),0)&gt;70,1,0)"),"#REF!")</f>
        <v>#REF!</v>
      </c>
      <c r="V61" s="34" t="str">
        <f>IFERROR(__xludf.DUMMYFUNCTION("IF(query(Data!A:M,CONCATENATE(""select Col13 where Col1 = '"",C61,""' and Col8 = 'Data Protection and Privacy'""),0)&gt;70,1,0)"),"#REF!")</f>
        <v>#REF!</v>
      </c>
      <c r="W61" s="34" t="str">
        <f>IFERROR(__xludf.DUMMYFUNCTION("IF(query(Data!A:M,CONCATENATE(""select Col13 where Col1 = '"",C61,""' and Col8 = 'Gender Equality'""),0)&gt;70,1,0)"),"#REF!")</f>
        <v>#REF!</v>
      </c>
      <c r="X61" s="34" t="str">
        <f>IFERROR(__xludf.DUMMYFUNCTION("IF(query(Data!A:M,CONCATENATE(""select Col13 where Col1 = '"",C61,""' and Col8 = 'Human Oversight and Determination'""),0)&gt;70,1,0)"),"#REF!")</f>
        <v>#REF!</v>
      </c>
      <c r="Y61" s="34" t="str">
        <f>IFERROR(__xludf.DUMMYFUNCTION("IF(query(Data!A:M,CONCATENATE(""select Col13 where Col1 = '"",C61,""' and Col8 = 'Labour Protection and Right to Work'""),0)&gt;70,1,0)"),"#REF!")</f>
        <v>#REF!</v>
      </c>
      <c r="Z61" s="34" t="str">
        <f>IFERROR(__xludf.DUMMYFUNCTION("IF(query(Data!A:M,CONCATENATE(""select Col13 where Col1 = '"",C61,""' and Col8 = 'Safety, Accuracy and Reliability'""),0)&gt;70,1,0)"),"#REF!")</f>
        <v>#REF!</v>
      </c>
      <c r="AA61" s="34" t="str">
        <f>IFERROR(__xludf.DUMMYFUNCTION("IF(query(Data!A:M,CONCATENATE(""select Col13 where Col1 = '"",C61,""' and Col8 = 'Transparency and Explainability'""),0)&gt;70,1,0)"),"#REF!")</f>
        <v>#REF!</v>
      </c>
      <c r="AB61" s="35">
        <f t="shared" si="2"/>
        <v>0</v>
      </c>
      <c r="AC61" s="35">
        <f t="shared" si="3"/>
        <v>0</v>
      </c>
      <c r="AD61" s="35">
        <f t="shared" si="4"/>
        <v>0</v>
      </c>
      <c r="AE61" s="35">
        <f t="shared" si="5"/>
        <v>0</v>
      </c>
      <c r="AF61" s="35">
        <f t="shared" si="6"/>
        <v>0</v>
      </c>
      <c r="AG61" s="35" t="str">
        <f t="shared" si="7"/>
        <v>No</v>
      </c>
      <c r="AH61" s="35" t="str">
        <f>IFERROR(__xludf.DUMMYFUNCTION("IFERROR(query(query(Data!A:BS,CONCATENATE(""select Col50, count(Col49) where Col1 = '"",C61,""' group by Col50"")), CONCATENATE(""select Col1 where Col2 = "",query(query(query(Data!A:BS,CONCATENATE(""select Col50, count(Col49) where Col1 = '"",C61,""' and"&amp;" Col50 &lt;&gt; 'Other' and Col50 is not null group by Col50"")),""select max(Col2)"",0),""Select *"",0),"" limit 1""),0))"),"")</f>
        <v/>
      </c>
      <c r="AI61" s="35" t="str">
        <f t="shared" si="8"/>
        <v/>
      </c>
      <c r="AJ61" s="35" t="str">
        <f t="shared" si="9"/>
        <v>No</v>
      </c>
      <c r="AK61" s="35" t="str">
        <f>IFERROR(__xludf.DUMMYFUNCTION("IFERROR(query(query(Data!A:BS,CONCATENATE(""select Col70, count(Col69) where Col1 = '"",C61,""' group by Col70"")), CONCATENATE(""select Col1 where Col2 = "",query(query(query(Data!A:BS,CONCATENATE(""select Col70, count(Col69) where Col1 = '"",C61,""' and"&amp;" Col70 &lt;&gt; 'Other' and Col70 is not null group by Col70"")),""select max(Col2)"",0),""Select *"",0),"" limit 1""),0))"),"")</f>
        <v/>
      </c>
      <c r="AL61" s="35" t="str">
        <f t="shared" si="10"/>
        <v/>
      </c>
      <c r="AM61" s="35"/>
      <c r="AN61" s="35"/>
      <c r="AO61" s="35"/>
      <c r="AP61" s="35"/>
      <c r="AQ61" s="35"/>
      <c r="AR61" s="35"/>
      <c r="AS61" s="35"/>
      <c r="AT61" s="35"/>
      <c r="AU61" s="35"/>
      <c r="AV61" s="35"/>
    </row>
    <row r="62">
      <c r="A62" s="25">
        <v>52.0</v>
      </c>
      <c r="B62" s="26" t="s">
        <v>222</v>
      </c>
      <c r="C62" s="27" t="s">
        <v>223</v>
      </c>
      <c r="D62" s="28" t="s">
        <v>224</v>
      </c>
      <c r="E62" s="28" t="s">
        <v>46</v>
      </c>
      <c r="F62" s="28" t="s">
        <v>47</v>
      </c>
      <c r="G62" s="28" t="s">
        <v>149</v>
      </c>
      <c r="H62" s="29">
        <v>22.071861433062637</v>
      </c>
      <c r="I62" s="30">
        <v>26.133730704324282</v>
      </c>
      <c r="J62" s="30">
        <v>24.14597770289371</v>
      </c>
      <c r="K62" s="30">
        <v>9.799890350877192</v>
      </c>
      <c r="L62" s="31">
        <v>12.655428571428573</v>
      </c>
      <c r="M62" s="31">
        <v>28.354666666666667</v>
      </c>
      <c r="N62" s="31">
        <v>25.195666666666668</v>
      </c>
      <c r="O62" s="32" t="s">
        <v>59</v>
      </c>
      <c r="P62" s="32" t="s">
        <v>59</v>
      </c>
      <c r="Q62" s="32" t="s">
        <v>80</v>
      </c>
      <c r="R62" s="33" t="str">
        <f t="shared" si="1"/>
        <v>gob</v>
      </c>
      <c r="S62" s="34" t="str">
        <f>IFERROR(__xludf.DUMMYFUNCTION("IF(query(Data!A:M,CONCATENATE(""select Col13 where Col1 = '"",C62,""' and Col8 = 'Bias and Unfair Discrimination'""),0)&gt;70,1,0)"),"#REF!")</f>
        <v>#REF!</v>
      </c>
      <c r="T62" s="34" t="str">
        <f>IFERROR(__xludf.DUMMYFUNCTION("IF(query(Data!A:M,CONCATENATE(""select Col13 where Col1 = '"",C62,""' and Col8 = 'Childrens Rights'""),0)&gt;70,1,0)"),"#REF!")</f>
        <v>#REF!</v>
      </c>
      <c r="U62" s="34" t="str">
        <f>IFERROR(__xludf.DUMMYFUNCTION("IF(query(Data!A:M,CONCATENATE(""select Col13 where Col1 = '"",C62,""' and Col8 = 'Cultural and Linguistic Diversity'""),0)&gt;70,1,0)"),"#REF!")</f>
        <v>#REF!</v>
      </c>
      <c r="V62" s="34" t="str">
        <f>IFERROR(__xludf.DUMMYFUNCTION("IF(query(Data!A:M,CONCATENATE(""select Col13 where Col1 = '"",C62,""' and Col8 = 'Data Protection and Privacy'""),0)&gt;70,1,0)"),"#REF!")</f>
        <v>#REF!</v>
      </c>
      <c r="W62" s="34" t="str">
        <f>IFERROR(__xludf.DUMMYFUNCTION("IF(query(Data!A:M,CONCATENATE(""select Col13 where Col1 = '"",C62,""' and Col8 = 'Gender Equality'""),0)&gt;70,1,0)"),"#REF!")</f>
        <v>#REF!</v>
      </c>
      <c r="X62" s="34" t="str">
        <f>IFERROR(__xludf.DUMMYFUNCTION("IF(query(Data!A:M,CONCATENATE(""select Col13 where Col1 = '"",C62,""' and Col8 = 'Human Oversight and Determination'""),0)&gt;70,1,0)"),"#REF!")</f>
        <v>#REF!</v>
      </c>
      <c r="Y62" s="34" t="str">
        <f>IFERROR(__xludf.DUMMYFUNCTION("IF(query(Data!A:M,CONCATENATE(""select Col13 where Col1 = '"",C62,""' and Col8 = 'Labour Protection and Right to Work'""),0)&gt;70,1,0)"),"#REF!")</f>
        <v>#REF!</v>
      </c>
      <c r="Z62" s="34" t="str">
        <f>IFERROR(__xludf.DUMMYFUNCTION("IF(query(Data!A:M,CONCATENATE(""select Col13 where Col1 = '"",C62,""' and Col8 = 'Safety, Accuracy and Reliability'""),0)&gt;70,1,0)"),"#REF!")</f>
        <v>#REF!</v>
      </c>
      <c r="AA62" s="34" t="str">
        <f>IFERROR(__xludf.DUMMYFUNCTION("IF(query(Data!A:M,CONCATENATE(""select Col13 where Col1 = '"",C62,""' and Col8 = 'Transparency and Explainability'""),0)&gt;70,1,0)"),"#REF!")</f>
        <v>#REF!</v>
      </c>
      <c r="AB62" s="35">
        <f t="shared" si="2"/>
        <v>0</v>
      </c>
      <c r="AC62" s="35">
        <f t="shared" si="3"/>
        <v>0</v>
      </c>
      <c r="AD62" s="35">
        <f t="shared" si="4"/>
        <v>0</v>
      </c>
      <c r="AE62" s="35">
        <f t="shared" si="5"/>
        <v>0</v>
      </c>
      <c r="AF62" s="35">
        <f t="shared" si="6"/>
        <v>0</v>
      </c>
      <c r="AG62" s="35" t="str">
        <f t="shared" si="7"/>
        <v>No</v>
      </c>
      <c r="AH62" s="35" t="str">
        <f>IFERROR(__xludf.DUMMYFUNCTION("IFERROR(query(query(Data!A:BS,CONCATENATE(""select Col50, count(Col49) where Col1 = '"",C62,""' group by Col50"")), CONCATENATE(""select Col1 where Col2 = "",query(query(query(Data!A:BS,CONCATENATE(""select Col50, count(Col49) where Col1 = '"",C62,""' and"&amp;" Col50 &lt;&gt; 'Other' and Col50 is not null group by Col50"")),""select max(Col2)"",0),""Select *"",0),"" limit 1""),0))"),"")</f>
        <v/>
      </c>
      <c r="AI62" s="35" t="str">
        <f t="shared" si="8"/>
        <v/>
      </c>
      <c r="AJ62" s="35" t="str">
        <f t="shared" si="9"/>
        <v>No</v>
      </c>
      <c r="AK62" s="35" t="str">
        <f>IFERROR(__xludf.DUMMYFUNCTION("IFERROR(query(query(Data!A:BS,CONCATENATE(""select Col70, count(Col69) where Col1 = '"",C62,""' group by Col70"")), CONCATENATE(""select Col1 where Col2 = "",query(query(query(Data!A:BS,CONCATENATE(""select Col70, count(Col69) where Col1 = '"",C62,""' and"&amp;" Col70 &lt;&gt; 'Other' and Col70 is not null group by Col70"")),""select max(Col2)"",0),""Select *"",0),"" limit 1""),0))"),"")</f>
        <v/>
      </c>
      <c r="AL62" s="35" t="str">
        <f t="shared" si="10"/>
        <v/>
      </c>
      <c r="AM62" s="35"/>
      <c r="AN62" s="35"/>
      <c r="AO62" s="35"/>
      <c r="AP62" s="35"/>
      <c r="AQ62" s="35"/>
      <c r="AR62" s="35"/>
      <c r="AS62" s="35"/>
      <c r="AT62" s="35"/>
      <c r="AU62" s="35"/>
      <c r="AV62" s="35"/>
    </row>
    <row r="63">
      <c r="A63" s="25">
        <v>36.0</v>
      </c>
      <c r="B63" s="26" t="s">
        <v>225</v>
      </c>
      <c r="C63" s="27" t="s">
        <v>226</v>
      </c>
      <c r="D63" s="28" t="s">
        <v>227</v>
      </c>
      <c r="E63" s="28" t="s">
        <v>52</v>
      </c>
      <c r="F63" s="28" t="s">
        <v>52</v>
      </c>
      <c r="G63" s="28" t="s">
        <v>110</v>
      </c>
      <c r="H63" s="29">
        <v>31.995779601649232</v>
      </c>
      <c r="I63" s="30">
        <v>44.7854601291188</v>
      </c>
      <c r="J63" s="30">
        <v>21.031839752197264</v>
      </c>
      <c r="K63" s="30">
        <v>28.344298245614034</v>
      </c>
      <c r="L63" s="31">
        <v>29.88742857142857</v>
      </c>
      <c r="M63" s="31">
        <v>25.51777777777778</v>
      </c>
      <c r="N63" s="31">
        <v>56.349</v>
      </c>
      <c r="O63" s="32" t="s">
        <v>54</v>
      </c>
      <c r="P63" s="32" t="s">
        <v>54</v>
      </c>
      <c r="Q63" s="32" t="s">
        <v>54</v>
      </c>
      <c r="R63" s="33" t="str">
        <f t="shared" si="1"/>
        <v>cap</v>
      </c>
      <c r="S63" s="34" t="str">
        <f>IFERROR(__xludf.DUMMYFUNCTION("IF(query(Data!A:M,CONCATENATE(""select Col13 where Col1 = '"",C63,""' and Col8 = 'Bias and Unfair Discrimination'""),0)&gt;70,1,0)"),"#REF!")</f>
        <v>#REF!</v>
      </c>
      <c r="T63" s="34" t="str">
        <f>IFERROR(__xludf.DUMMYFUNCTION("IF(query(Data!A:M,CONCATENATE(""select Col13 where Col1 = '"",C63,""' and Col8 = 'Childrens Rights'""),0)&gt;70,1,0)"),"#REF!")</f>
        <v>#REF!</v>
      </c>
      <c r="U63" s="34" t="str">
        <f>IFERROR(__xludf.DUMMYFUNCTION("IF(query(Data!A:M,CONCATENATE(""select Col13 where Col1 = '"",C63,""' and Col8 = 'Cultural and Linguistic Diversity'""),0)&gt;70,1,0)"),"#REF!")</f>
        <v>#REF!</v>
      </c>
      <c r="V63" s="34" t="str">
        <f>IFERROR(__xludf.DUMMYFUNCTION("IF(query(Data!A:M,CONCATENATE(""select Col13 where Col1 = '"",C63,""' and Col8 = 'Data Protection and Privacy'""),0)&gt;70,1,0)"),"#REF!")</f>
        <v>#REF!</v>
      </c>
      <c r="W63" s="34" t="str">
        <f>IFERROR(__xludf.DUMMYFUNCTION("IF(query(Data!A:M,CONCATENATE(""select Col13 where Col1 = '"",C63,""' and Col8 = 'Gender Equality'""),0)&gt;70,1,0)"),"#REF!")</f>
        <v>#REF!</v>
      </c>
      <c r="X63" s="34" t="str">
        <f>IFERROR(__xludf.DUMMYFUNCTION("IF(query(Data!A:M,CONCATENATE(""select Col13 where Col1 = '"",C63,""' and Col8 = 'Human Oversight and Determination'""),0)&gt;70,1,0)"),"#REF!")</f>
        <v>#REF!</v>
      </c>
      <c r="Y63" s="34" t="str">
        <f>IFERROR(__xludf.DUMMYFUNCTION("IF(query(Data!A:M,CONCATENATE(""select Col13 where Col1 = '"",C63,""' and Col8 = 'Labour Protection and Right to Work'""),0)&gt;70,1,0)"),"#REF!")</f>
        <v>#REF!</v>
      </c>
      <c r="Z63" s="34" t="str">
        <f>IFERROR(__xludf.DUMMYFUNCTION("IF(query(Data!A:M,CONCATENATE(""select Col13 where Col1 = '"",C63,""' and Col8 = 'Safety, Accuracy and Reliability'""),0)&gt;70,1,0)"),"#REF!")</f>
        <v>#REF!</v>
      </c>
      <c r="AA63" s="34" t="str">
        <f>IFERROR(__xludf.DUMMYFUNCTION("IF(query(Data!A:M,CONCATENATE(""select Col13 where Col1 = '"",C63,""' and Col8 = 'Transparency and Explainability'""),0)&gt;70,1,0)"),"#REF!")</f>
        <v>#REF!</v>
      </c>
      <c r="AB63" s="35">
        <f t="shared" si="2"/>
        <v>0</v>
      </c>
      <c r="AC63" s="35">
        <f t="shared" si="3"/>
        <v>0</v>
      </c>
      <c r="AD63" s="35">
        <f t="shared" si="4"/>
        <v>0</v>
      </c>
      <c r="AE63" s="35">
        <f t="shared" si="5"/>
        <v>0</v>
      </c>
      <c r="AF63" s="35">
        <f t="shared" si="6"/>
        <v>0</v>
      </c>
      <c r="AG63" s="35" t="str">
        <f t="shared" si="7"/>
        <v>No</v>
      </c>
      <c r="AH63" s="35" t="str">
        <f>IFERROR(__xludf.DUMMYFUNCTION("IFERROR(query(query(Data!A:BS,CONCATENATE(""select Col50, count(Col49) where Col1 = '"",C63,""' group by Col50"")), CONCATENATE(""select Col1 where Col2 = "",query(query(query(Data!A:BS,CONCATENATE(""select Col50, count(Col49) where Col1 = '"",C63,""' and"&amp;" Col50 &lt;&gt; 'Other' and Col50 is not null group by Col50"")),""select max(Col2)"",0),""Select *"",0),"" limit 1""),0))"),"")</f>
        <v/>
      </c>
      <c r="AI63" s="35" t="str">
        <f t="shared" si="8"/>
        <v/>
      </c>
      <c r="AJ63" s="35" t="str">
        <f t="shared" si="9"/>
        <v>No</v>
      </c>
      <c r="AK63" s="35" t="str">
        <f>IFERROR(__xludf.DUMMYFUNCTION("IFERROR(query(query(Data!A:BS,CONCATENATE(""select Col70, count(Col69) where Col1 = '"",C63,""' group by Col70"")), CONCATENATE(""select Col1 where Col2 = "",query(query(query(Data!A:BS,CONCATENATE(""select Col70, count(Col69) where Col1 = '"",C63,""' and"&amp;" Col70 &lt;&gt; 'Other' and Col70 is not null group by Col70"")),""select max(Col2)"",0),""Select *"",0),"" limit 1""),0))"),"")</f>
        <v/>
      </c>
      <c r="AL63" s="35" t="str">
        <f t="shared" si="10"/>
        <v/>
      </c>
      <c r="AM63" s="35"/>
      <c r="AN63" s="35"/>
      <c r="AO63" s="35"/>
      <c r="AP63" s="35"/>
      <c r="AQ63" s="35"/>
      <c r="AR63" s="35"/>
      <c r="AS63" s="35"/>
      <c r="AT63" s="35"/>
      <c r="AU63" s="35"/>
      <c r="AV63" s="35"/>
    </row>
    <row r="64">
      <c r="A64" s="25">
        <v>25.0</v>
      </c>
      <c r="B64" s="26" t="s">
        <v>228</v>
      </c>
      <c r="C64" s="27" t="s">
        <v>229</v>
      </c>
      <c r="D64" s="28" t="s">
        <v>229</v>
      </c>
      <c r="E64" s="28" t="s">
        <v>46</v>
      </c>
      <c r="F64" s="28" t="s">
        <v>47</v>
      </c>
      <c r="G64" s="28" t="s">
        <v>48</v>
      </c>
      <c r="H64" s="29">
        <v>38.51124412804319</v>
      </c>
      <c r="I64" s="30">
        <v>28.42084587666026</v>
      </c>
      <c r="J64" s="30">
        <v>52.951836811868766</v>
      </c>
      <c r="K64" s="30">
        <v>29.810855263157894</v>
      </c>
      <c r="L64" s="31">
        <v>28.986285714285714</v>
      </c>
      <c r="M64" s="31">
        <v>46.739555555555555</v>
      </c>
      <c r="N64" s="31">
        <v>36.050666666666665</v>
      </c>
      <c r="O64" s="32" t="s">
        <v>54</v>
      </c>
      <c r="P64" s="32" t="s">
        <v>54</v>
      </c>
      <c r="Q64" s="32" t="s">
        <v>54</v>
      </c>
      <c r="R64" s="33" t="str">
        <f t="shared" si="1"/>
        <v>gob</v>
      </c>
      <c r="S64" s="34" t="str">
        <f>IFERROR(__xludf.DUMMYFUNCTION("IF(query(Data!A:M,CONCATENATE(""select Col13 where Col1 = '"",C64,""' and Col8 = 'Bias and Unfair Discrimination'""),0)&gt;70,1,0)"),"#REF!")</f>
        <v>#REF!</v>
      </c>
      <c r="T64" s="34" t="str">
        <f>IFERROR(__xludf.DUMMYFUNCTION("IF(query(Data!A:M,CONCATENATE(""select Col13 where Col1 = '"",C64,""' and Col8 = 'Childrens Rights'""),0)&gt;70,1,0)"),"#REF!")</f>
        <v>#REF!</v>
      </c>
      <c r="U64" s="34" t="str">
        <f>IFERROR(__xludf.DUMMYFUNCTION("IF(query(Data!A:M,CONCATENATE(""select Col13 where Col1 = '"",C64,""' and Col8 = 'Cultural and Linguistic Diversity'""),0)&gt;70,1,0)"),"#REF!")</f>
        <v>#REF!</v>
      </c>
      <c r="V64" s="34" t="str">
        <f>IFERROR(__xludf.DUMMYFUNCTION("IF(query(Data!A:M,CONCATENATE(""select Col13 where Col1 = '"",C64,""' and Col8 = 'Data Protection and Privacy'""),0)&gt;70,1,0)"),"#REF!")</f>
        <v>#REF!</v>
      </c>
      <c r="W64" s="34" t="str">
        <f>IFERROR(__xludf.DUMMYFUNCTION("IF(query(Data!A:M,CONCATENATE(""select Col13 where Col1 = '"",C64,""' and Col8 = 'Gender Equality'""),0)&gt;70,1,0)"),"#REF!")</f>
        <v>#REF!</v>
      </c>
      <c r="X64" s="34" t="str">
        <f>IFERROR(__xludf.DUMMYFUNCTION("IF(query(Data!A:M,CONCATENATE(""select Col13 where Col1 = '"",C64,""' and Col8 = 'Human Oversight and Determination'""),0)&gt;70,1,0)"),"#REF!")</f>
        <v>#REF!</v>
      </c>
      <c r="Y64" s="34" t="str">
        <f>IFERROR(__xludf.DUMMYFUNCTION("IF(query(Data!A:M,CONCATENATE(""select Col13 where Col1 = '"",C64,""' and Col8 = 'Labour Protection and Right to Work'""),0)&gt;70,1,0)"),"#REF!")</f>
        <v>#REF!</v>
      </c>
      <c r="Z64" s="34" t="str">
        <f>IFERROR(__xludf.DUMMYFUNCTION("IF(query(Data!A:M,CONCATENATE(""select Col13 where Col1 = '"",C64,""' and Col8 = 'Safety, Accuracy and Reliability'""),0)&gt;70,1,0)"),"#REF!")</f>
        <v>#REF!</v>
      </c>
      <c r="AA64" s="34" t="str">
        <f>IFERROR(__xludf.DUMMYFUNCTION("IF(query(Data!A:M,CONCATENATE(""select Col13 where Col1 = '"",C64,""' and Col8 = 'Transparency and Explainability'""),0)&gt;70,1,0)"),"#REF!")</f>
        <v>#REF!</v>
      </c>
      <c r="AB64" s="35">
        <f t="shared" si="2"/>
        <v>0</v>
      </c>
      <c r="AC64" s="35">
        <f t="shared" si="3"/>
        <v>0</v>
      </c>
      <c r="AD64" s="35">
        <f t="shared" si="4"/>
        <v>0</v>
      </c>
      <c r="AE64" s="35">
        <f t="shared" si="5"/>
        <v>0</v>
      </c>
      <c r="AF64" s="35">
        <f t="shared" si="6"/>
        <v>0</v>
      </c>
      <c r="AG64" s="35" t="str">
        <f t="shared" si="7"/>
        <v>No</v>
      </c>
      <c r="AH64" s="35" t="str">
        <f>IFERROR(__xludf.DUMMYFUNCTION("IFERROR(query(query(Data!A:BS,CONCATENATE(""select Col50, count(Col49) where Col1 = '"",C64,""' group by Col50"")), CONCATENATE(""select Col1 where Col2 = "",query(query(query(Data!A:BS,CONCATENATE(""select Col50, count(Col49) where Col1 = '"",C64,""' and"&amp;" Col50 &lt;&gt; 'Other' and Col50 is not null group by Col50"")),""select max(Col2)"",0),""Select *"",0),"" limit 1""),0))"),"")</f>
        <v/>
      </c>
      <c r="AI64" s="35" t="str">
        <f t="shared" si="8"/>
        <v/>
      </c>
      <c r="AJ64" s="35" t="str">
        <f t="shared" si="9"/>
        <v>No</v>
      </c>
      <c r="AK64" s="35" t="str">
        <f>IFERROR(__xludf.DUMMYFUNCTION("IFERROR(query(query(Data!A:BS,CONCATENATE(""select Col70, count(Col69) where Col1 = '"",C64,""' group by Col70"")), CONCATENATE(""select Col1 where Col2 = "",query(query(query(Data!A:BS,CONCATENATE(""select Col70, count(Col69) where Col1 = '"",C64,""' and"&amp;" Col70 &lt;&gt; 'Other' and Col70 is not null group by Col70"")),""select max(Col2)"",0),""Select *"",0),"" limit 1""),0))"),"")</f>
        <v/>
      </c>
      <c r="AL64" s="35" t="str">
        <f t="shared" si="10"/>
        <v/>
      </c>
      <c r="AM64" s="35"/>
      <c r="AN64" s="35"/>
      <c r="AO64" s="35"/>
      <c r="AP64" s="35"/>
      <c r="AQ64" s="35"/>
      <c r="AR64" s="35"/>
      <c r="AS64" s="35"/>
      <c r="AT64" s="35"/>
      <c r="AU64" s="35"/>
      <c r="AV64" s="35"/>
    </row>
    <row r="65">
      <c r="A65" s="25">
        <v>67.0</v>
      </c>
      <c r="B65" s="26" t="s">
        <v>230</v>
      </c>
      <c r="C65" s="27" t="s">
        <v>231</v>
      </c>
      <c r="D65" s="28" t="s">
        <v>231</v>
      </c>
      <c r="E65" s="28" t="s">
        <v>46</v>
      </c>
      <c r="F65" s="28" t="s">
        <v>47</v>
      </c>
      <c r="G65" s="28" t="s">
        <v>132</v>
      </c>
      <c r="H65" s="29">
        <v>13.76711983262447</v>
      </c>
      <c r="I65" s="30">
        <v>20.29543229153282</v>
      </c>
      <c r="J65" s="30">
        <v>6.72790457073011</v>
      </c>
      <c r="K65" s="30">
        <v>14.788925438596488</v>
      </c>
      <c r="L65" s="31">
        <v>0.0</v>
      </c>
      <c r="M65" s="31">
        <v>21.445555555555558</v>
      </c>
      <c r="N65" s="31">
        <v>22.855</v>
      </c>
      <c r="O65" s="32" t="s">
        <v>54</v>
      </c>
      <c r="P65" s="32" t="s">
        <v>54</v>
      </c>
      <c r="Q65" s="32" t="s">
        <v>54</v>
      </c>
      <c r="R65" s="33" t="str">
        <f t="shared" si="1"/>
        <v>cap</v>
      </c>
      <c r="S65" s="34" t="str">
        <f>IFERROR(__xludf.DUMMYFUNCTION("IF(query(Data!A:M,CONCATENATE(""select Col13 where Col1 = '"",C65,""' and Col8 = 'Bias and Unfair Discrimination'""),0)&gt;70,1,0)"),"#REF!")</f>
        <v>#REF!</v>
      </c>
      <c r="T65" s="34" t="str">
        <f>IFERROR(__xludf.DUMMYFUNCTION("IF(query(Data!A:M,CONCATENATE(""select Col13 where Col1 = '"",C65,""' and Col8 = 'Childrens Rights'""),0)&gt;70,1,0)"),"#REF!")</f>
        <v>#REF!</v>
      </c>
      <c r="U65" s="34" t="str">
        <f>IFERROR(__xludf.DUMMYFUNCTION("IF(query(Data!A:M,CONCATENATE(""select Col13 where Col1 = '"",C65,""' and Col8 = 'Cultural and Linguistic Diversity'""),0)&gt;70,1,0)"),"#REF!")</f>
        <v>#REF!</v>
      </c>
      <c r="V65" s="34" t="str">
        <f>IFERROR(__xludf.DUMMYFUNCTION("IF(query(Data!A:M,CONCATENATE(""select Col13 where Col1 = '"",C65,""' and Col8 = 'Data Protection and Privacy'""),0)&gt;70,1,0)"),"#REF!")</f>
        <v>#REF!</v>
      </c>
      <c r="W65" s="34" t="str">
        <f>IFERROR(__xludf.DUMMYFUNCTION("IF(query(Data!A:M,CONCATENATE(""select Col13 where Col1 = '"",C65,""' and Col8 = 'Gender Equality'""),0)&gt;70,1,0)"),"#REF!")</f>
        <v>#REF!</v>
      </c>
      <c r="X65" s="34" t="str">
        <f>IFERROR(__xludf.DUMMYFUNCTION("IF(query(Data!A:M,CONCATENATE(""select Col13 where Col1 = '"",C65,""' and Col8 = 'Human Oversight and Determination'""),0)&gt;70,1,0)"),"#REF!")</f>
        <v>#REF!</v>
      </c>
      <c r="Y65" s="34" t="str">
        <f>IFERROR(__xludf.DUMMYFUNCTION("IF(query(Data!A:M,CONCATENATE(""select Col13 where Col1 = '"",C65,""' and Col8 = 'Labour Protection and Right to Work'""),0)&gt;70,1,0)"),"#REF!")</f>
        <v>#REF!</v>
      </c>
      <c r="Z65" s="34" t="str">
        <f>IFERROR(__xludf.DUMMYFUNCTION("IF(query(Data!A:M,CONCATENATE(""select Col13 where Col1 = '"",C65,""' and Col8 = 'Safety, Accuracy and Reliability'""),0)&gt;70,1,0)"),"#REF!")</f>
        <v>#REF!</v>
      </c>
      <c r="AA65" s="34" t="str">
        <f>IFERROR(__xludf.DUMMYFUNCTION("IF(query(Data!A:M,CONCATENATE(""select Col13 where Col1 = '"",C65,""' and Col8 = 'Transparency and Explainability'""),0)&gt;70,1,0)"),"#REF!")</f>
        <v>#REF!</v>
      </c>
      <c r="AB65" s="35">
        <f t="shared" si="2"/>
        <v>0</v>
      </c>
      <c r="AC65" s="35">
        <f t="shared" si="3"/>
        <v>0</v>
      </c>
      <c r="AD65" s="35">
        <f t="shared" si="4"/>
        <v>0</v>
      </c>
      <c r="AE65" s="35">
        <f t="shared" si="5"/>
        <v>0</v>
      </c>
      <c r="AF65" s="35">
        <f t="shared" si="6"/>
        <v>0</v>
      </c>
      <c r="AG65" s="35" t="str">
        <f t="shared" si="7"/>
        <v>No</v>
      </c>
      <c r="AH65" s="35" t="str">
        <f>IFERROR(__xludf.DUMMYFUNCTION("IFERROR(query(query(Data!A:BS,CONCATENATE(""select Col50, count(Col49) where Col1 = '"",C65,""' group by Col50"")), CONCATENATE(""select Col1 where Col2 = "",query(query(query(Data!A:BS,CONCATENATE(""select Col50, count(Col49) where Col1 = '"",C65,""' and"&amp;" Col50 &lt;&gt; 'Other' and Col50 is not null group by Col50"")),""select max(Col2)"",0),""Select *"",0),"" limit 1""),0))"),"")</f>
        <v/>
      </c>
      <c r="AI65" s="35" t="str">
        <f t="shared" si="8"/>
        <v/>
      </c>
      <c r="AJ65" s="35" t="str">
        <f t="shared" si="9"/>
        <v>No</v>
      </c>
      <c r="AK65" s="35" t="str">
        <f>IFERROR(__xludf.DUMMYFUNCTION("IFERROR(query(query(Data!A:BS,CONCATENATE(""select Col70, count(Col69) where Col1 = '"",C65,""' group by Col70"")), CONCATENATE(""select Col1 where Col2 = "",query(query(query(Data!A:BS,CONCATENATE(""select Col70, count(Col69) where Col1 = '"",C65,""' and"&amp;" Col70 &lt;&gt; 'Other' and Col70 is not null group by Col70"")),""select max(Col2)"",0),""Select *"",0),"" limit 1""),0))"),"")</f>
        <v/>
      </c>
      <c r="AL65" s="35" t="str">
        <f t="shared" si="10"/>
        <v/>
      </c>
      <c r="AM65" s="35"/>
      <c r="AN65" s="35"/>
      <c r="AO65" s="35"/>
      <c r="AP65" s="35"/>
      <c r="AQ65" s="35"/>
      <c r="AR65" s="35"/>
      <c r="AS65" s="35"/>
      <c r="AT65" s="35"/>
      <c r="AU65" s="35"/>
      <c r="AV65" s="35"/>
    </row>
    <row r="66">
      <c r="A66" s="25">
        <v>3.0</v>
      </c>
      <c r="B66" s="26" t="s">
        <v>232</v>
      </c>
      <c r="C66" s="27" t="s">
        <v>233</v>
      </c>
      <c r="D66" s="28" t="s">
        <v>234</v>
      </c>
      <c r="E66" s="28" t="s">
        <v>52</v>
      </c>
      <c r="F66" s="28" t="s">
        <v>52</v>
      </c>
      <c r="G66" s="28" t="s">
        <v>186</v>
      </c>
      <c r="H66" s="29">
        <v>74.98427752712317</v>
      </c>
      <c r="I66" s="30">
        <v>81.70721768496328</v>
      </c>
      <c r="J66" s="30">
        <v>74.17452876442358</v>
      </c>
      <c r="K66" s="30">
        <v>63.1578947368421</v>
      </c>
      <c r="L66" s="31">
        <v>84.10500000000002</v>
      </c>
      <c r="M66" s="31">
        <v>73.68455555555556</v>
      </c>
      <c r="N66" s="31">
        <v>57.602000000000004</v>
      </c>
      <c r="O66" s="32" t="s">
        <v>59</v>
      </c>
      <c r="P66" s="32" t="s">
        <v>59</v>
      </c>
      <c r="Q66" s="32" t="s">
        <v>59</v>
      </c>
      <c r="R66" s="33" t="str">
        <f t="shared" si="1"/>
        <v>ddhh</v>
      </c>
      <c r="S66" s="34" t="str">
        <f>IFERROR(__xludf.DUMMYFUNCTION("IF(query(Data!A:M,CONCATENATE(""select Col13 where Col1 = '"",C66,""' and Col8 = 'Bias and Unfair Discrimination'""),0)&gt;70,1,0)"),"#REF!")</f>
        <v>#REF!</v>
      </c>
      <c r="T66" s="34" t="str">
        <f>IFERROR(__xludf.DUMMYFUNCTION("IF(query(Data!A:M,CONCATENATE(""select Col13 where Col1 = '"",C66,""' and Col8 = 'Childrens Rights'""),0)&gt;70,1,0)"),"#REF!")</f>
        <v>#REF!</v>
      </c>
      <c r="U66" s="34" t="str">
        <f>IFERROR(__xludf.DUMMYFUNCTION("IF(query(Data!A:M,CONCATENATE(""select Col13 where Col1 = '"",C66,""' and Col8 = 'Cultural and Linguistic Diversity'""),0)&gt;70,1,0)"),"#REF!")</f>
        <v>#REF!</v>
      </c>
      <c r="V66" s="34" t="str">
        <f>IFERROR(__xludf.DUMMYFUNCTION("IF(query(Data!A:M,CONCATENATE(""select Col13 where Col1 = '"",C66,""' and Col8 = 'Data Protection and Privacy'""),0)&gt;70,1,0)"),"#REF!")</f>
        <v>#REF!</v>
      </c>
      <c r="W66" s="34" t="str">
        <f>IFERROR(__xludf.DUMMYFUNCTION("IF(query(Data!A:M,CONCATENATE(""select Col13 where Col1 = '"",C66,""' and Col8 = 'Gender Equality'""),0)&gt;70,1,0)"),"#REF!")</f>
        <v>#REF!</v>
      </c>
      <c r="X66" s="34" t="str">
        <f>IFERROR(__xludf.DUMMYFUNCTION("IF(query(Data!A:M,CONCATENATE(""select Col13 where Col1 = '"",C66,""' and Col8 = 'Human Oversight and Determination'""),0)&gt;70,1,0)"),"#REF!")</f>
        <v>#REF!</v>
      </c>
      <c r="Y66" s="34" t="str">
        <f>IFERROR(__xludf.DUMMYFUNCTION("IF(query(Data!A:M,CONCATENATE(""select Col13 where Col1 = '"",C66,""' and Col8 = 'Labour Protection and Right to Work'""),0)&gt;70,1,0)"),"#REF!")</f>
        <v>#REF!</v>
      </c>
      <c r="Z66" s="34" t="str">
        <f>IFERROR(__xludf.DUMMYFUNCTION("IF(query(Data!A:M,CONCATENATE(""select Col13 where Col1 = '"",C66,""' and Col8 = 'Safety, Accuracy and Reliability'""),0)&gt;70,1,0)"),"#REF!")</f>
        <v>#REF!</v>
      </c>
      <c r="AA66" s="34" t="str">
        <f>IFERROR(__xludf.DUMMYFUNCTION("IF(query(Data!A:M,CONCATENATE(""select Col13 where Col1 = '"",C66,""' and Col8 = 'Transparency and Explainability'""),0)&gt;70,1,0)"),"#REF!")</f>
        <v>#REF!</v>
      </c>
      <c r="AB66" s="35">
        <f t="shared" si="2"/>
        <v>0</v>
      </c>
      <c r="AC66" s="35">
        <f t="shared" si="3"/>
        <v>0</v>
      </c>
      <c r="AD66" s="35">
        <f t="shared" si="4"/>
        <v>0</v>
      </c>
      <c r="AE66" s="35">
        <f t="shared" si="5"/>
        <v>0</v>
      </c>
      <c r="AF66" s="35">
        <f t="shared" si="6"/>
        <v>0</v>
      </c>
      <c r="AG66" s="35" t="str">
        <f t="shared" si="7"/>
        <v>No</v>
      </c>
      <c r="AH66" s="35" t="str">
        <f>IFERROR(__xludf.DUMMYFUNCTION("IFERROR(query(query(Data!A:BS,CONCATENATE(""select Col50, count(Col49) where Col1 = '"",C66,""' group by Col50"")), CONCATENATE(""select Col1 where Col2 = "",query(query(query(Data!A:BS,CONCATENATE(""select Col50, count(Col49) where Col1 = '"",C66,""' and"&amp;" Col50 &lt;&gt; 'Other' and Col50 is not null group by Col50"")),""select max(Col2)"",0),""Select *"",0),"" limit 1""),0))"),"")</f>
        <v/>
      </c>
      <c r="AI66" s="35" t="str">
        <f t="shared" si="8"/>
        <v/>
      </c>
      <c r="AJ66" s="35" t="str">
        <f t="shared" si="9"/>
        <v>No</v>
      </c>
      <c r="AK66" s="35" t="str">
        <f>IFERROR(__xludf.DUMMYFUNCTION("IFERROR(query(query(Data!A:BS,CONCATENATE(""select Col70, count(Col69) where Col1 = '"",C66,""' group by Col70"")), CONCATENATE(""select Col1 where Col2 = "",query(query(query(Data!A:BS,CONCATENATE(""select Col70, count(Col69) where Col1 = '"",C66,""' and"&amp;" Col70 &lt;&gt; 'Other' and Col70 is not null group by Col70"")),""select max(Col2)"",0),""Select *"",0),"" limit 1""),0))"),"")</f>
        <v/>
      </c>
      <c r="AL66" s="35" t="str">
        <f t="shared" si="10"/>
        <v/>
      </c>
      <c r="AM66" s="35"/>
      <c r="AN66" s="35"/>
      <c r="AO66" s="35"/>
      <c r="AP66" s="35"/>
      <c r="AQ66" s="35"/>
      <c r="AR66" s="35"/>
      <c r="AS66" s="35"/>
      <c r="AT66" s="35"/>
      <c r="AU66" s="35"/>
      <c r="AV66" s="35"/>
    </row>
    <row r="67">
      <c r="A67" s="25">
        <v>7.0</v>
      </c>
      <c r="B67" s="26" t="s">
        <v>235</v>
      </c>
      <c r="C67" s="27" t="s">
        <v>236</v>
      </c>
      <c r="D67" s="28" t="s">
        <v>237</v>
      </c>
      <c r="E67" s="28" t="s">
        <v>52</v>
      </c>
      <c r="F67" s="28" t="s">
        <v>52</v>
      </c>
      <c r="G67" s="28" t="s">
        <v>53</v>
      </c>
      <c r="H67" s="29">
        <v>61.8005738542791</v>
      </c>
      <c r="I67" s="30">
        <v>59.99462198792842</v>
      </c>
      <c r="J67" s="30">
        <v>55.95829291092722</v>
      </c>
      <c r="K67" s="30">
        <v>77.0970394736842</v>
      </c>
      <c r="L67" s="31">
        <v>66.33885714285715</v>
      </c>
      <c r="M67" s="31">
        <v>66.13433333333333</v>
      </c>
      <c r="N67" s="31">
        <v>38.208666666666666</v>
      </c>
      <c r="O67" s="32" t="s">
        <v>54</v>
      </c>
      <c r="P67" s="32" t="s">
        <v>54</v>
      </c>
      <c r="Q67" s="32" t="s">
        <v>59</v>
      </c>
      <c r="R67" s="33" t="str">
        <f t="shared" si="1"/>
        <v>ddhh</v>
      </c>
      <c r="S67" s="34" t="str">
        <f>IFERROR(__xludf.DUMMYFUNCTION("IF(query(Data!A:M,CONCATENATE(""select Col13 where Col1 = '"",C67,""' and Col8 = 'Bias and Unfair Discrimination'""),0)&gt;70,1,0)"),"#REF!")</f>
        <v>#REF!</v>
      </c>
      <c r="T67" s="34" t="str">
        <f>IFERROR(__xludf.DUMMYFUNCTION("IF(query(Data!A:M,CONCATENATE(""select Col13 where Col1 = '"",C67,""' and Col8 = 'Childrens Rights'""),0)&gt;70,1,0)"),"#REF!")</f>
        <v>#REF!</v>
      </c>
      <c r="U67" s="34" t="str">
        <f>IFERROR(__xludf.DUMMYFUNCTION("IF(query(Data!A:M,CONCATENATE(""select Col13 where Col1 = '"",C67,""' and Col8 = 'Cultural and Linguistic Diversity'""),0)&gt;70,1,0)"),"#REF!")</f>
        <v>#REF!</v>
      </c>
      <c r="V67" s="34" t="str">
        <f>IFERROR(__xludf.DUMMYFUNCTION("IF(query(Data!A:M,CONCATENATE(""select Col13 where Col1 = '"",C67,""' and Col8 = 'Data Protection and Privacy'""),0)&gt;70,1,0)"),"#REF!")</f>
        <v>#REF!</v>
      </c>
      <c r="W67" s="34" t="str">
        <f>IFERROR(__xludf.DUMMYFUNCTION("IF(query(Data!A:M,CONCATENATE(""select Col13 where Col1 = '"",C67,""' and Col8 = 'Gender Equality'""),0)&gt;70,1,0)"),"#REF!")</f>
        <v>#REF!</v>
      </c>
      <c r="X67" s="34" t="str">
        <f>IFERROR(__xludf.DUMMYFUNCTION("IF(query(Data!A:M,CONCATENATE(""select Col13 where Col1 = '"",C67,""' and Col8 = 'Human Oversight and Determination'""),0)&gt;70,1,0)"),"#REF!")</f>
        <v>#REF!</v>
      </c>
      <c r="Y67" s="34" t="str">
        <f>IFERROR(__xludf.DUMMYFUNCTION("IF(query(Data!A:M,CONCATENATE(""select Col13 where Col1 = '"",C67,""' and Col8 = 'Labour Protection and Right to Work'""),0)&gt;70,1,0)"),"#REF!")</f>
        <v>#REF!</v>
      </c>
      <c r="Z67" s="34" t="str">
        <f>IFERROR(__xludf.DUMMYFUNCTION("IF(query(Data!A:M,CONCATENATE(""select Col13 where Col1 = '"",C67,""' and Col8 = 'Safety, Accuracy and Reliability'""),0)&gt;70,1,0)"),"#REF!")</f>
        <v>#REF!</v>
      </c>
      <c r="AA67" s="34" t="str">
        <f>IFERROR(__xludf.DUMMYFUNCTION("IF(query(Data!A:M,CONCATENATE(""select Col13 where Col1 = '"",C67,""' and Col8 = 'Transparency and Explainability'""),0)&gt;70,1,0)"),"#REF!")</f>
        <v>#REF!</v>
      </c>
      <c r="AB67" s="35">
        <f t="shared" si="2"/>
        <v>0</v>
      </c>
      <c r="AC67" s="35">
        <f t="shared" si="3"/>
        <v>0</v>
      </c>
      <c r="AD67" s="35">
        <f t="shared" si="4"/>
        <v>0</v>
      </c>
      <c r="AE67" s="35">
        <f t="shared" si="5"/>
        <v>0</v>
      </c>
      <c r="AF67" s="35">
        <f t="shared" si="6"/>
        <v>0</v>
      </c>
      <c r="AG67" s="35" t="str">
        <f t="shared" si="7"/>
        <v>No</v>
      </c>
      <c r="AH67" s="35" t="str">
        <f>IFERROR(__xludf.DUMMYFUNCTION("IFERROR(query(query(Data!A:BS,CONCATENATE(""select Col50, count(Col49) where Col1 = '"",C67,""' group by Col50"")), CONCATENATE(""select Col1 where Col2 = "",query(query(query(Data!A:BS,CONCATENATE(""select Col50, count(Col49) where Col1 = '"",C67,""' and"&amp;" Col50 &lt;&gt; 'Other' and Col50 is not null group by Col50"")),""select max(Col2)"",0),""Select *"",0),"" limit 1""),0))"),"")</f>
        <v/>
      </c>
      <c r="AI67" s="35" t="str">
        <f t="shared" si="8"/>
        <v/>
      </c>
      <c r="AJ67" s="35" t="str">
        <f t="shared" si="9"/>
        <v>No</v>
      </c>
      <c r="AK67" s="35" t="str">
        <f>IFERROR(__xludf.DUMMYFUNCTION("IFERROR(query(query(Data!A:BS,CONCATENATE(""select Col70, count(Col69) where Col1 = '"",C67,""' group by Col70"")), CONCATENATE(""select Col1 where Col2 = "",query(query(query(Data!A:BS,CONCATENATE(""select Col70, count(Col69) where Col1 = '"",C67,""' and"&amp;" Col70 &lt;&gt; 'Other' and Col70 is not null group by Col70"")),""select max(Col2)"",0),""Select *"",0),"" limit 1""),0))"),"")</f>
        <v/>
      </c>
      <c r="AL67" s="35" t="str">
        <f t="shared" si="10"/>
        <v/>
      </c>
      <c r="AM67" s="35"/>
      <c r="AN67" s="35"/>
      <c r="AO67" s="35"/>
      <c r="AP67" s="35"/>
      <c r="AQ67" s="35"/>
      <c r="AR67" s="35"/>
      <c r="AS67" s="35"/>
      <c r="AT67" s="35"/>
      <c r="AU67" s="35"/>
      <c r="AV67" s="35"/>
    </row>
    <row r="68">
      <c r="A68" s="25">
        <v>83.0</v>
      </c>
      <c r="B68" s="26" t="s">
        <v>238</v>
      </c>
      <c r="C68" s="27" t="s">
        <v>239</v>
      </c>
      <c r="D68" s="28" t="s">
        <v>239</v>
      </c>
      <c r="E68" s="28" t="s">
        <v>63</v>
      </c>
      <c r="F68" s="28" t="s">
        <v>64</v>
      </c>
      <c r="G68" s="28" t="s">
        <v>65</v>
      </c>
      <c r="H68" s="29">
        <v>6.75914426937438</v>
      </c>
      <c r="I68" s="30">
        <v>0.0</v>
      </c>
      <c r="J68" s="30">
        <v>10.264088743611387</v>
      </c>
      <c r="K68" s="30">
        <v>13.267543859649122</v>
      </c>
      <c r="L68" s="31">
        <v>8.216</v>
      </c>
      <c r="M68" s="31">
        <v>4.289555555555555</v>
      </c>
      <c r="N68" s="31">
        <v>10.768</v>
      </c>
      <c r="O68" s="32" t="s">
        <v>54</v>
      </c>
      <c r="P68" s="32" t="s">
        <v>54</v>
      </c>
      <c r="Q68" s="32" t="s">
        <v>59</v>
      </c>
      <c r="R68" s="33" t="str">
        <f t="shared" si="1"/>
        <v>cap</v>
      </c>
      <c r="S68" s="34" t="str">
        <f>IFERROR(__xludf.DUMMYFUNCTION("IF(query(Data!A:M,CONCATENATE(""select Col13 where Col1 = '"",C68,""' and Col8 = 'Bias and Unfair Discrimination'""),0)&gt;70,1,0)"),"#REF!")</f>
        <v>#REF!</v>
      </c>
      <c r="T68" s="34" t="str">
        <f>IFERROR(__xludf.DUMMYFUNCTION("IF(query(Data!A:M,CONCATENATE(""select Col13 where Col1 = '"",C68,""' and Col8 = 'Childrens Rights'""),0)&gt;70,1,0)"),"#REF!")</f>
        <v>#REF!</v>
      </c>
      <c r="U68" s="34" t="str">
        <f>IFERROR(__xludf.DUMMYFUNCTION("IF(query(Data!A:M,CONCATENATE(""select Col13 where Col1 = '"",C68,""' and Col8 = 'Cultural and Linguistic Diversity'""),0)&gt;70,1,0)"),"#REF!")</f>
        <v>#REF!</v>
      </c>
      <c r="V68" s="34" t="str">
        <f>IFERROR(__xludf.DUMMYFUNCTION("IF(query(Data!A:M,CONCATENATE(""select Col13 where Col1 = '"",C68,""' and Col8 = 'Data Protection and Privacy'""),0)&gt;70,1,0)"),"#REF!")</f>
        <v>#REF!</v>
      </c>
      <c r="W68" s="34" t="str">
        <f>IFERROR(__xludf.DUMMYFUNCTION("IF(query(Data!A:M,CONCATENATE(""select Col13 where Col1 = '"",C68,""' and Col8 = 'Gender Equality'""),0)&gt;70,1,0)"),"#REF!")</f>
        <v>#REF!</v>
      </c>
      <c r="X68" s="34" t="str">
        <f>IFERROR(__xludf.DUMMYFUNCTION("IF(query(Data!A:M,CONCATENATE(""select Col13 where Col1 = '"",C68,""' and Col8 = 'Human Oversight and Determination'""),0)&gt;70,1,0)"),"#REF!")</f>
        <v>#REF!</v>
      </c>
      <c r="Y68" s="34" t="str">
        <f>IFERROR(__xludf.DUMMYFUNCTION("IF(query(Data!A:M,CONCATENATE(""select Col13 where Col1 = '"",C68,""' and Col8 = 'Labour Protection and Right to Work'""),0)&gt;70,1,0)"),"#REF!")</f>
        <v>#REF!</v>
      </c>
      <c r="Z68" s="34" t="str">
        <f>IFERROR(__xludf.DUMMYFUNCTION("IF(query(Data!A:M,CONCATENATE(""select Col13 where Col1 = '"",C68,""' and Col8 = 'Safety, Accuracy and Reliability'""),0)&gt;70,1,0)"),"#REF!")</f>
        <v>#REF!</v>
      </c>
      <c r="AA68" s="34" t="str">
        <f>IFERROR(__xludf.DUMMYFUNCTION("IF(query(Data!A:M,CONCATENATE(""select Col13 where Col1 = '"",C68,""' and Col8 = 'Transparency and Explainability'""),0)&gt;70,1,0)"),"#REF!")</f>
        <v>#REF!</v>
      </c>
      <c r="AB68" s="35">
        <f t="shared" si="2"/>
        <v>0</v>
      </c>
      <c r="AC68" s="35">
        <f t="shared" si="3"/>
        <v>0</v>
      </c>
      <c r="AD68" s="35">
        <f t="shared" si="4"/>
        <v>0</v>
      </c>
      <c r="AE68" s="35">
        <f t="shared" si="5"/>
        <v>0</v>
      </c>
      <c r="AF68" s="35">
        <f t="shared" si="6"/>
        <v>0</v>
      </c>
      <c r="AG68" s="35" t="str">
        <f t="shared" si="7"/>
        <v>No</v>
      </c>
      <c r="AH68" s="35" t="str">
        <f>IFERROR(__xludf.DUMMYFUNCTION("IFERROR(query(query(Data!A:BS,CONCATENATE(""select Col50, count(Col49) where Col1 = '"",C68,""' group by Col50"")), CONCATENATE(""select Col1 where Col2 = "",query(query(query(Data!A:BS,CONCATENATE(""select Col50, count(Col49) where Col1 = '"",C68,""' and"&amp;" Col50 &lt;&gt; 'Other' and Col50 is not null group by Col50"")),""select max(Col2)"",0),""Select *"",0),"" limit 1""),0))"),"")</f>
        <v/>
      </c>
      <c r="AI68" s="35" t="str">
        <f t="shared" si="8"/>
        <v/>
      </c>
      <c r="AJ68" s="35" t="str">
        <f t="shared" si="9"/>
        <v>No</v>
      </c>
      <c r="AK68" s="35" t="str">
        <f>IFERROR(__xludf.DUMMYFUNCTION("IFERROR(query(query(Data!A:BS,CONCATENATE(""select Col70, count(Col69) where Col1 = '"",C68,""' group by Col70"")), CONCATENATE(""select Col1 where Col2 = "",query(query(query(Data!A:BS,CONCATENATE(""select Col70, count(Col69) where Col1 = '"",C68,""' and"&amp;" Col70 &lt;&gt; 'Other' and Col70 is not null group by Col70"")),""select max(Col2)"",0),""Select *"",0),"" limit 1""),0))"),"")</f>
        <v/>
      </c>
      <c r="AL68" s="35" t="str">
        <f t="shared" si="10"/>
        <v/>
      </c>
      <c r="AM68" s="35"/>
      <c r="AN68" s="35"/>
      <c r="AO68" s="35"/>
      <c r="AP68" s="35"/>
      <c r="AQ68" s="35"/>
      <c r="AR68" s="35"/>
      <c r="AS68" s="35"/>
      <c r="AT68" s="35"/>
      <c r="AU68" s="35"/>
      <c r="AV68" s="35"/>
    </row>
    <row r="69">
      <c r="A69" s="25">
        <v>12.0</v>
      </c>
      <c r="B69" s="26" t="s">
        <v>240</v>
      </c>
      <c r="C69" s="27" t="s">
        <v>241</v>
      </c>
      <c r="D69" s="28" t="s">
        <v>242</v>
      </c>
      <c r="E69" s="28" t="s">
        <v>46</v>
      </c>
      <c r="F69" s="28" t="s">
        <v>47</v>
      </c>
      <c r="G69" s="28" t="s">
        <v>149</v>
      </c>
      <c r="H69" s="29">
        <v>52.2067409013447</v>
      </c>
      <c r="I69" s="30">
        <v>28.855304634361932</v>
      </c>
      <c r="J69" s="30">
        <v>72.53599937338578</v>
      </c>
      <c r="K69" s="30">
        <v>58.25109649122807</v>
      </c>
      <c r="L69" s="31">
        <v>41.67142857142857</v>
      </c>
      <c r="M69" s="31">
        <v>63.074222222222225</v>
      </c>
      <c r="N69" s="31">
        <v>44.18633333333333</v>
      </c>
      <c r="O69" s="32" t="s">
        <v>59</v>
      </c>
      <c r="P69" s="32" t="s">
        <v>59</v>
      </c>
      <c r="Q69" s="32" t="s">
        <v>59</v>
      </c>
      <c r="R69" s="33" t="str">
        <f t="shared" si="1"/>
        <v>gob</v>
      </c>
      <c r="S69" s="34" t="str">
        <f>IFERROR(__xludf.DUMMYFUNCTION("IF(query(Data!A:M,CONCATENATE(""select Col13 where Col1 = '"",C69,""' and Col8 = 'Bias and Unfair Discrimination'""),0)&gt;70,1,0)"),"#REF!")</f>
        <v>#REF!</v>
      </c>
      <c r="T69" s="34" t="str">
        <f>IFERROR(__xludf.DUMMYFUNCTION("IF(query(Data!A:M,CONCATENATE(""select Col13 where Col1 = '"",C69,""' and Col8 = 'Childrens Rights'""),0)&gt;70,1,0)"),"#REF!")</f>
        <v>#REF!</v>
      </c>
      <c r="U69" s="34" t="str">
        <f>IFERROR(__xludf.DUMMYFUNCTION("IF(query(Data!A:M,CONCATENATE(""select Col13 where Col1 = '"",C69,""' and Col8 = 'Cultural and Linguistic Diversity'""),0)&gt;70,1,0)"),"#REF!")</f>
        <v>#REF!</v>
      </c>
      <c r="V69" s="34" t="str">
        <f>IFERROR(__xludf.DUMMYFUNCTION("IF(query(Data!A:M,CONCATENATE(""select Col13 where Col1 = '"",C69,""' and Col8 = 'Data Protection and Privacy'""),0)&gt;70,1,0)"),"#REF!")</f>
        <v>#REF!</v>
      </c>
      <c r="W69" s="34" t="str">
        <f>IFERROR(__xludf.DUMMYFUNCTION("IF(query(Data!A:M,CONCATENATE(""select Col13 where Col1 = '"",C69,""' and Col8 = 'Gender Equality'""),0)&gt;70,1,0)"),"#REF!")</f>
        <v>#REF!</v>
      </c>
      <c r="X69" s="34" t="str">
        <f>IFERROR(__xludf.DUMMYFUNCTION("IF(query(Data!A:M,CONCATENATE(""select Col13 where Col1 = '"",C69,""' and Col8 = 'Human Oversight and Determination'""),0)&gt;70,1,0)"),"#REF!")</f>
        <v>#REF!</v>
      </c>
      <c r="Y69" s="34" t="str">
        <f>IFERROR(__xludf.DUMMYFUNCTION("IF(query(Data!A:M,CONCATENATE(""select Col13 where Col1 = '"",C69,""' and Col8 = 'Labour Protection and Right to Work'""),0)&gt;70,1,0)"),"#REF!")</f>
        <v>#REF!</v>
      </c>
      <c r="Z69" s="34" t="str">
        <f>IFERROR(__xludf.DUMMYFUNCTION("IF(query(Data!A:M,CONCATENATE(""select Col13 where Col1 = '"",C69,""' and Col8 = 'Safety, Accuracy and Reliability'""),0)&gt;70,1,0)"),"#REF!")</f>
        <v>#REF!</v>
      </c>
      <c r="AA69" s="34" t="str">
        <f>IFERROR(__xludf.DUMMYFUNCTION("IF(query(Data!A:M,CONCATENATE(""select Col13 where Col1 = '"",C69,""' and Col8 = 'Transparency and Explainability'""),0)&gt;70,1,0)"),"#REF!")</f>
        <v>#REF!</v>
      </c>
      <c r="AB69" s="35">
        <f t="shared" si="2"/>
        <v>0</v>
      </c>
      <c r="AC69" s="35">
        <f t="shared" si="3"/>
        <v>0</v>
      </c>
      <c r="AD69" s="35">
        <f t="shared" si="4"/>
        <v>0</v>
      </c>
      <c r="AE69" s="35">
        <f t="shared" si="5"/>
        <v>0</v>
      </c>
      <c r="AF69" s="35">
        <f t="shared" si="6"/>
        <v>0</v>
      </c>
      <c r="AG69" s="35" t="str">
        <f t="shared" si="7"/>
        <v>No</v>
      </c>
      <c r="AH69" s="35" t="str">
        <f>IFERROR(__xludf.DUMMYFUNCTION("IFERROR(query(query(Data!A:BS,CONCATENATE(""select Col50, count(Col49) where Col1 = '"",C69,""' group by Col50"")), CONCATENATE(""select Col1 where Col2 = "",query(query(query(Data!A:BS,CONCATENATE(""select Col50, count(Col49) where Col1 = '"",C69,""' and"&amp;" Col50 &lt;&gt; 'Other' and Col50 is not null group by Col50"")),""select max(Col2)"",0),""Select *"",0),"" limit 1""),0))"),"")</f>
        <v/>
      </c>
      <c r="AI69" s="35" t="str">
        <f t="shared" si="8"/>
        <v/>
      </c>
      <c r="AJ69" s="35" t="str">
        <f t="shared" si="9"/>
        <v>No</v>
      </c>
      <c r="AK69" s="35" t="str">
        <f>IFERROR(__xludf.DUMMYFUNCTION("IFERROR(query(query(Data!A:BS,CONCATENATE(""select Col70, count(Col69) where Col1 = '"",C69,""' group by Col70"")), CONCATENATE(""select Col1 where Col2 = "",query(query(query(Data!A:BS,CONCATENATE(""select Col70, count(Col69) where Col1 = '"",C69,""' and"&amp;" Col70 &lt;&gt; 'Other' and Col70 is not null group by Col70"")),""select max(Col2)"",0),""Select *"",0),"" limit 1""),0))"),"")</f>
        <v/>
      </c>
      <c r="AL69" s="35" t="str">
        <f t="shared" si="10"/>
        <v/>
      </c>
      <c r="AM69" s="35"/>
      <c r="AN69" s="35"/>
      <c r="AO69" s="35"/>
      <c r="AP69" s="35"/>
      <c r="AQ69" s="35"/>
      <c r="AR69" s="35"/>
      <c r="AS69" s="35"/>
      <c r="AT69" s="35"/>
      <c r="AU69" s="35"/>
      <c r="AV69" s="35"/>
    </row>
    <row r="70">
      <c r="A70" s="25">
        <v>38.0</v>
      </c>
      <c r="B70" s="26" t="s">
        <v>243</v>
      </c>
      <c r="C70" s="27" t="s">
        <v>244</v>
      </c>
      <c r="D70" s="28" t="s">
        <v>245</v>
      </c>
      <c r="E70" s="28" t="s">
        <v>69</v>
      </c>
      <c r="F70" s="28" t="s">
        <v>47</v>
      </c>
      <c r="G70" s="28" t="s">
        <v>70</v>
      </c>
      <c r="H70" s="29">
        <v>29.602387042463874</v>
      </c>
      <c r="I70" s="30">
        <v>36.87727503190961</v>
      </c>
      <c r="J70" s="30">
        <v>28.781653100565862</v>
      </c>
      <c r="K70" s="30">
        <v>16.69407894736842</v>
      </c>
      <c r="L70" s="31">
        <v>30.684428571428576</v>
      </c>
      <c r="M70" s="31">
        <v>26.753444444444444</v>
      </c>
      <c r="N70" s="31">
        <v>35.625</v>
      </c>
      <c r="O70" s="32" t="s">
        <v>54</v>
      </c>
      <c r="P70" s="32" t="s">
        <v>54</v>
      </c>
      <c r="Q70" s="32" t="s">
        <v>76</v>
      </c>
      <c r="R70" s="33" t="str">
        <f t="shared" si="1"/>
        <v>cap</v>
      </c>
      <c r="S70" s="34" t="str">
        <f>IFERROR(__xludf.DUMMYFUNCTION("IF(query(Data!A:M,CONCATENATE(""select Col13 where Col1 = '"",C70,""' and Col8 = 'Bias and Unfair Discrimination'""),0)&gt;70,1,0)"),"#REF!")</f>
        <v>#REF!</v>
      </c>
      <c r="T70" s="34" t="str">
        <f>IFERROR(__xludf.DUMMYFUNCTION("IF(query(Data!A:M,CONCATENATE(""select Col13 where Col1 = '"",C70,""' and Col8 = 'Childrens Rights'""),0)&gt;70,1,0)"),"#REF!")</f>
        <v>#REF!</v>
      </c>
      <c r="U70" s="34" t="str">
        <f>IFERROR(__xludf.DUMMYFUNCTION("IF(query(Data!A:M,CONCATENATE(""select Col13 where Col1 = '"",C70,""' and Col8 = 'Cultural and Linguistic Diversity'""),0)&gt;70,1,0)"),"#REF!")</f>
        <v>#REF!</v>
      </c>
      <c r="V70" s="34" t="str">
        <f>IFERROR(__xludf.DUMMYFUNCTION("IF(query(Data!A:M,CONCATENATE(""select Col13 where Col1 = '"",C70,""' and Col8 = 'Data Protection and Privacy'""),0)&gt;70,1,0)"),"#REF!")</f>
        <v>#REF!</v>
      </c>
      <c r="W70" s="34" t="str">
        <f>IFERROR(__xludf.DUMMYFUNCTION("IF(query(Data!A:M,CONCATENATE(""select Col13 where Col1 = '"",C70,""' and Col8 = 'Gender Equality'""),0)&gt;70,1,0)"),"#REF!")</f>
        <v>#REF!</v>
      </c>
      <c r="X70" s="34" t="str">
        <f>IFERROR(__xludf.DUMMYFUNCTION("IF(query(Data!A:M,CONCATENATE(""select Col13 where Col1 = '"",C70,""' and Col8 = 'Human Oversight and Determination'""),0)&gt;70,1,0)"),"#REF!")</f>
        <v>#REF!</v>
      </c>
      <c r="Y70" s="34" t="str">
        <f>IFERROR(__xludf.DUMMYFUNCTION("IF(query(Data!A:M,CONCATENATE(""select Col13 where Col1 = '"",C70,""' and Col8 = 'Labour Protection and Right to Work'""),0)&gt;70,1,0)"),"#REF!")</f>
        <v>#REF!</v>
      </c>
      <c r="Z70" s="34" t="str">
        <f>IFERROR(__xludf.DUMMYFUNCTION("IF(query(Data!A:M,CONCATENATE(""select Col13 where Col1 = '"",C70,""' and Col8 = 'Safety, Accuracy and Reliability'""),0)&gt;70,1,0)"),"#REF!")</f>
        <v>#REF!</v>
      </c>
      <c r="AA70" s="34" t="str">
        <f>IFERROR(__xludf.DUMMYFUNCTION("IF(query(Data!A:M,CONCATENATE(""select Col13 where Col1 = '"",C70,""' and Col8 = 'Transparency and Explainability'""),0)&gt;70,1,0)"),"#REF!")</f>
        <v>#REF!</v>
      </c>
      <c r="AB70" s="35">
        <f t="shared" si="2"/>
        <v>0</v>
      </c>
      <c r="AC70" s="35">
        <f t="shared" si="3"/>
        <v>0</v>
      </c>
      <c r="AD70" s="35">
        <f t="shared" si="4"/>
        <v>0</v>
      </c>
      <c r="AE70" s="35">
        <f t="shared" si="5"/>
        <v>0</v>
      </c>
      <c r="AF70" s="35">
        <f t="shared" si="6"/>
        <v>0</v>
      </c>
      <c r="AG70" s="35" t="str">
        <f t="shared" si="7"/>
        <v>No</v>
      </c>
      <c r="AH70" s="35" t="str">
        <f>IFERROR(__xludf.DUMMYFUNCTION("IFERROR(query(query(Data!A:BS,CONCATENATE(""select Col50, count(Col49) where Col1 = '"",C70,""' group by Col50"")), CONCATENATE(""select Col1 where Col2 = "",query(query(query(Data!A:BS,CONCATENATE(""select Col50, count(Col49) where Col1 = '"",C70,""' and"&amp;" Col50 &lt;&gt; 'Other' and Col50 is not null group by Col50"")),""select max(Col2)"",0),""Select *"",0),"" limit 1""),0))"),"")</f>
        <v/>
      </c>
      <c r="AI70" s="35" t="str">
        <f t="shared" si="8"/>
        <v/>
      </c>
      <c r="AJ70" s="35" t="str">
        <f t="shared" si="9"/>
        <v>No</v>
      </c>
      <c r="AK70" s="35" t="str">
        <f>IFERROR(__xludf.DUMMYFUNCTION("IFERROR(query(query(Data!A:BS,CONCATENATE(""select Col70, count(Col69) where Col1 = '"",C70,""' group by Col70"")), CONCATENATE(""select Col1 where Col2 = "",query(query(query(Data!A:BS,CONCATENATE(""select Col70, count(Col69) where Col1 = '"",C70,""' and"&amp;" Col70 &lt;&gt; 'Other' and Col70 is not null group by Col70"")),""select max(Col2)"",0),""Select *"",0),"" limit 1""),0))"),"")</f>
        <v/>
      </c>
      <c r="AL70" s="35" t="str">
        <f t="shared" si="10"/>
        <v/>
      </c>
      <c r="AM70" s="35"/>
      <c r="AN70" s="35"/>
      <c r="AO70" s="35"/>
      <c r="AP70" s="35"/>
      <c r="AQ70" s="35"/>
      <c r="AR70" s="35"/>
      <c r="AS70" s="35"/>
      <c r="AT70" s="35"/>
      <c r="AU70" s="35"/>
      <c r="AV70" s="35"/>
    </row>
    <row r="71">
      <c r="A71" s="25">
        <v>74.0</v>
      </c>
      <c r="B71" s="26" t="s">
        <v>246</v>
      </c>
      <c r="C71" s="27" t="s">
        <v>247</v>
      </c>
      <c r="D71" s="28" t="s">
        <v>248</v>
      </c>
      <c r="E71" s="28" t="s">
        <v>46</v>
      </c>
      <c r="F71" s="28" t="s">
        <v>47</v>
      </c>
      <c r="G71" s="28" t="s">
        <v>249</v>
      </c>
      <c r="H71" s="29">
        <v>9.910832594152085</v>
      </c>
      <c r="I71" s="30">
        <v>3.0660377301667867</v>
      </c>
      <c r="J71" s="30">
        <v>18.860166562230965</v>
      </c>
      <c r="K71" s="30">
        <v>5.701754385964911</v>
      </c>
      <c r="L71" s="31">
        <v>14.155</v>
      </c>
      <c r="M71" s="31">
        <v>6.103666666666666</v>
      </c>
      <c r="N71" s="31">
        <v>11.429666666666668</v>
      </c>
      <c r="O71" s="32" t="s">
        <v>80</v>
      </c>
      <c r="P71" s="32" t="s">
        <v>54</v>
      </c>
      <c r="Q71" s="32" t="s">
        <v>76</v>
      </c>
      <c r="R71" s="33" t="str">
        <f t="shared" si="1"/>
        <v>ddhh</v>
      </c>
      <c r="S71" s="34" t="str">
        <f>IFERROR(__xludf.DUMMYFUNCTION("IF(query(Data!A:M,CONCATENATE(""select Col13 where Col1 = '"",C71,""' and Col8 = 'Bias and Unfair Discrimination'""),0)&gt;70,1,0)"),"#REF!")</f>
        <v>#REF!</v>
      </c>
      <c r="T71" s="34" t="str">
        <f>IFERROR(__xludf.DUMMYFUNCTION("IF(query(Data!A:M,CONCATENATE(""select Col13 where Col1 = '"",C71,""' and Col8 = 'Childrens Rights'""),0)&gt;70,1,0)"),"#REF!")</f>
        <v>#REF!</v>
      </c>
      <c r="U71" s="34" t="str">
        <f>IFERROR(__xludf.DUMMYFUNCTION("IF(query(Data!A:M,CONCATENATE(""select Col13 where Col1 = '"",C71,""' and Col8 = 'Cultural and Linguistic Diversity'""),0)&gt;70,1,0)"),"#REF!")</f>
        <v>#REF!</v>
      </c>
      <c r="V71" s="34" t="str">
        <f>IFERROR(__xludf.DUMMYFUNCTION("IF(query(Data!A:M,CONCATENATE(""select Col13 where Col1 = '"",C71,""' and Col8 = 'Data Protection and Privacy'""),0)&gt;70,1,0)"),"#REF!")</f>
        <v>#REF!</v>
      </c>
      <c r="W71" s="34" t="str">
        <f>IFERROR(__xludf.DUMMYFUNCTION("IF(query(Data!A:M,CONCATENATE(""select Col13 where Col1 = '"",C71,""' and Col8 = 'Gender Equality'""),0)&gt;70,1,0)"),"#REF!")</f>
        <v>#REF!</v>
      </c>
      <c r="X71" s="34" t="str">
        <f>IFERROR(__xludf.DUMMYFUNCTION("IF(query(Data!A:M,CONCATENATE(""select Col13 where Col1 = '"",C71,""' and Col8 = 'Human Oversight and Determination'""),0)&gt;70,1,0)"),"#REF!")</f>
        <v>#REF!</v>
      </c>
      <c r="Y71" s="34" t="str">
        <f>IFERROR(__xludf.DUMMYFUNCTION("IF(query(Data!A:M,CONCATENATE(""select Col13 where Col1 = '"",C71,""' and Col8 = 'Labour Protection and Right to Work'""),0)&gt;70,1,0)"),"#REF!")</f>
        <v>#REF!</v>
      </c>
      <c r="Z71" s="34" t="str">
        <f>IFERROR(__xludf.DUMMYFUNCTION("IF(query(Data!A:M,CONCATENATE(""select Col13 where Col1 = '"",C71,""' and Col8 = 'Safety, Accuracy and Reliability'""),0)&gt;70,1,0)"),"#REF!")</f>
        <v>#REF!</v>
      </c>
      <c r="AA71" s="34" t="str">
        <f>IFERROR(__xludf.DUMMYFUNCTION("IF(query(Data!A:M,CONCATENATE(""select Col13 where Col1 = '"",C71,""' and Col8 = 'Transparency and Explainability'""),0)&gt;70,1,0)"),"#REF!")</f>
        <v>#REF!</v>
      </c>
      <c r="AB71" s="35">
        <f t="shared" si="2"/>
        <v>0</v>
      </c>
      <c r="AC71" s="35">
        <f t="shared" si="3"/>
        <v>0</v>
      </c>
      <c r="AD71" s="35">
        <f t="shared" si="4"/>
        <v>0</v>
      </c>
      <c r="AE71" s="35">
        <f t="shared" si="5"/>
        <v>0</v>
      </c>
      <c r="AF71" s="35">
        <f t="shared" si="6"/>
        <v>0</v>
      </c>
      <c r="AG71" s="35" t="str">
        <f t="shared" si="7"/>
        <v>No</v>
      </c>
      <c r="AH71" s="35" t="str">
        <f>IFERROR(__xludf.DUMMYFUNCTION("IFERROR(query(query(Data!A:BS,CONCATENATE(""select Col50, count(Col49) where Col1 = '"",C71,""' group by Col50"")), CONCATENATE(""select Col1 where Col2 = "",query(query(query(Data!A:BS,CONCATENATE(""select Col50, count(Col49) where Col1 = '"",C71,""' and"&amp;" Col50 &lt;&gt; 'Other' and Col50 is not null group by Col50"")),""select max(Col2)"",0),""Select *"",0),"" limit 1""),0))"),"")</f>
        <v/>
      </c>
      <c r="AI71" s="35" t="str">
        <f t="shared" si="8"/>
        <v/>
      </c>
      <c r="AJ71" s="35" t="str">
        <f t="shared" si="9"/>
        <v>No</v>
      </c>
      <c r="AK71" s="35" t="str">
        <f>IFERROR(__xludf.DUMMYFUNCTION("IFERROR(query(query(Data!A:BS,CONCATENATE(""select Col70, count(Col69) where Col1 = '"",C71,""' group by Col70"")), CONCATENATE(""select Col1 where Col2 = "",query(query(query(Data!A:BS,CONCATENATE(""select Col70, count(Col69) where Col1 = '"",C71,""' and"&amp;" Col70 &lt;&gt; 'Other' and Col70 is not null group by Col70"")),""select max(Col2)"",0),""Select *"",0),"" limit 1""),0))"),"")</f>
        <v/>
      </c>
      <c r="AL71" s="35" t="str">
        <f t="shared" si="10"/>
        <v/>
      </c>
      <c r="AM71" s="35"/>
      <c r="AN71" s="35"/>
      <c r="AO71" s="35"/>
      <c r="AP71" s="35"/>
      <c r="AQ71" s="35"/>
      <c r="AR71" s="35"/>
      <c r="AS71" s="35"/>
      <c r="AT71" s="35"/>
      <c r="AU71" s="35"/>
      <c r="AV71" s="35"/>
    </row>
    <row r="72">
      <c r="A72" s="25">
        <v>77.0</v>
      </c>
      <c r="B72" s="26" t="s">
        <v>250</v>
      </c>
      <c r="C72" s="27" t="s">
        <v>251</v>
      </c>
      <c r="D72" s="28" t="s">
        <v>252</v>
      </c>
      <c r="E72" s="28" t="s">
        <v>74</v>
      </c>
      <c r="F72" s="28" t="s">
        <v>74</v>
      </c>
      <c r="G72" s="28" t="s">
        <v>106</v>
      </c>
      <c r="H72" s="29">
        <v>8.793321716910913</v>
      </c>
      <c r="I72" s="30">
        <v>8.667452762001437</v>
      </c>
      <c r="J72" s="30">
        <v>4.680983109223216</v>
      </c>
      <c r="K72" s="30">
        <v>17.26973684210526</v>
      </c>
      <c r="L72" s="31">
        <v>6.027</v>
      </c>
      <c r="M72" s="31">
        <v>9.460222222222221</v>
      </c>
      <c r="N72" s="31">
        <v>13.248666666666665</v>
      </c>
      <c r="O72" s="32" t="s">
        <v>80</v>
      </c>
      <c r="P72" s="32" t="s">
        <v>76</v>
      </c>
      <c r="Q72" s="32" t="s">
        <v>54</v>
      </c>
      <c r="R72" s="33" t="str">
        <f t="shared" si="1"/>
        <v>cap</v>
      </c>
      <c r="S72" s="34" t="str">
        <f>IFERROR(__xludf.DUMMYFUNCTION("IF(query(Data!A:M,CONCATENATE(""select Col13 where Col1 = '"",C72,""' and Col8 = 'Bias and Unfair Discrimination'""),0)&gt;70,1,0)"),"#REF!")</f>
        <v>#REF!</v>
      </c>
      <c r="T72" s="34" t="str">
        <f>IFERROR(__xludf.DUMMYFUNCTION("IF(query(Data!A:M,CONCATENATE(""select Col13 where Col1 = '"",C72,""' and Col8 = 'Childrens Rights'""),0)&gt;70,1,0)"),"#REF!")</f>
        <v>#REF!</v>
      </c>
      <c r="U72" s="34" t="str">
        <f>IFERROR(__xludf.DUMMYFUNCTION("IF(query(Data!A:M,CONCATENATE(""select Col13 where Col1 = '"",C72,""' and Col8 = 'Cultural and Linguistic Diversity'""),0)&gt;70,1,0)"),"#REF!")</f>
        <v>#REF!</v>
      </c>
      <c r="V72" s="34" t="str">
        <f>IFERROR(__xludf.DUMMYFUNCTION("IF(query(Data!A:M,CONCATENATE(""select Col13 where Col1 = '"",C72,""' and Col8 = 'Data Protection and Privacy'""),0)&gt;70,1,0)"),"#REF!")</f>
        <v>#REF!</v>
      </c>
      <c r="W72" s="34" t="str">
        <f>IFERROR(__xludf.DUMMYFUNCTION("IF(query(Data!A:M,CONCATENATE(""select Col13 where Col1 = '"",C72,""' and Col8 = 'Gender Equality'""),0)&gt;70,1,0)"),"#REF!")</f>
        <v>#REF!</v>
      </c>
      <c r="X72" s="34" t="str">
        <f>IFERROR(__xludf.DUMMYFUNCTION("IF(query(Data!A:M,CONCATENATE(""select Col13 where Col1 = '"",C72,""' and Col8 = 'Human Oversight and Determination'""),0)&gt;70,1,0)"),"#REF!")</f>
        <v>#REF!</v>
      </c>
      <c r="Y72" s="34" t="str">
        <f>IFERROR(__xludf.DUMMYFUNCTION("IF(query(Data!A:M,CONCATENATE(""select Col13 where Col1 = '"",C72,""' and Col8 = 'Labour Protection and Right to Work'""),0)&gt;70,1,0)"),"#REF!")</f>
        <v>#REF!</v>
      </c>
      <c r="Z72" s="34" t="str">
        <f>IFERROR(__xludf.DUMMYFUNCTION("IF(query(Data!A:M,CONCATENATE(""select Col13 where Col1 = '"",C72,""' and Col8 = 'Safety, Accuracy and Reliability'""),0)&gt;70,1,0)"),"#REF!")</f>
        <v>#REF!</v>
      </c>
      <c r="AA72" s="34" t="str">
        <f>IFERROR(__xludf.DUMMYFUNCTION("IF(query(Data!A:M,CONCATENATE(""select Col13 where Col1 = '"",C72,""' and Col8 = 'Transparency and Explainability'""),0)&gt;70,1,0)"),"#REF!")</f>
        <v>#REF!</v>
      </c>
      <c r="AB72" s="35">
        <f t="shared" si="2"/>
        <v>0</v>
      </c>
      <c r="AC72" s="35">
        <f t="shared" si="3"/>
        <v>0</v>
      </c>
      <c r="AD72" s="35">
        <f t="shared" si="4"/>
        <v>0</v>
      </c>
      <c r="AE72" s="35">
        <f t="shared" si="5"/>
        <v>0</v>
      </c>
      <c r="AF72" s="35">
        <f t="shared" si="6"/>
        <v>0</v>
      </c>
      <c r="AG72" s="35" t="str">
        <f t="shared" si="7"/>
        <v>No</v>
      </c>
      <c r="AH72" s="35" t="str">
        <f>IFERROR(__xludf.DUMMYFUNCTION("IFERROR(query(query(Data!A:BS,CONCATENATE(""select Col50, count(Col49) where Col1 = '"",C72,""' group by Col50"")), CONCATENATE(""select Col1 where Col2 = "",query(query(query(Data!A:BS,CONCATENATE(""select Col50, count(Col49) where Col1 = '"",C72,""' and"&amp;" Col50 &lt;&gt; 'Other' and Col50 is not null group by Col50"")),""select max(Col2)"",0),""Select *"",0),"" limit 1""),0))"),"")</f>
        <v/>
      </c>
      <c r="AI72" s="35" t="str">
        <f t="shared" si="8"/>
        <v/>
      </c>
      <c r="AJ72" s="35" t="str">
        <f t="shared" si="9"/>
        <v>No</v>
      </c>
      <c r="AK72" s="35" t="str">
        <f>IFERROR(__xludf.DUMMYFUNCTION("IFERROR(query(query(Data!A:BS,CONCATENATE(""select Col70, count(Col69) where Col1 = '"",C72,""' group by Col70"")), CONCATENATE(""select Col1 where Col2 = "",query(query(query(Data!A:BS,CONCATENATE(""select Col70, count(Col69) where Col1 = '"",C72,""' and"&amp;" Col70 &lt;&gt; 'Other' and Col70 is not null group by Col70"")),""select max(Col2)"",0),""Select *"",0),"" limit 1""),0))"),"")</f>
        <v/>
      </c>
      <c r="AL72" s="35" t="str">
        <f t="shared" si="10"/>
        <v/>
      </c>
      <c r="AM72" s="35"/>
      <c r="AN72" s="35"/>
      <c r="AO72" s="35"/>
      <c r="AP72" s="35"/>
      <c r="AQ72" s="35"/>
      <c r="AR72" s="35"/>
      <c r="AS72" s="35"/>
      <c r="AT72" s="35"/>
      <c r="AU72" s="35"/>
      <c r="AV72" s="35"/>
    </row>
    <row r="73">
      <c r="A73" s="25">
        <v>109.0</v>
      </c>
      <c r="B73" s="26" t="s">
        <v>253</v>
      </c>
      <c r="C73" s="27" t="s">
        <v>254</v>
      </c>
      <c r="D73" s="28" t="s">
        <v>254</v>
      </c>
      <c r="E73" s="28" t="s">
        <v>52</v>
      </c>
      <c r="F73" s="28" t="s">
        <v>52</v>
      </c>
      <c r="G73" s="28" t="s">
        <v>53</v>
      </c>
      <c r="H73" s="29">
        <v>2.1545845731099447</v>
      </c>
      <c r="I73" s="30">
        <v>0.0</v>
      </c>
      <c r="J73" s="30">
        <v>2.809707046809949</v>
      </c>
      <c r="K73" s="30">
        <v>5.1535087719298245</v>
      </c>
      <c r="L73" s="31">
        <v>2.7977142857142856</v>
      </c>
      <c r="M73" s="31">
        <v>0.0</v>
      </c>
      <c r="N73" s="31">
        <v>7.117999999999999</v>
      </c>
      <c r="O73" s="32" t="s">
        <v>80</v>
      </c>
      <c r="P73" s="32" t="s">
        <v>80</v>
      </c>
      <c r="Q73" s="32" t="s">
        <v>54</v>
      </c>
      <c r="R73" s="33" t="str">
        <f t="shared" si="1"/>
        <v>cap</v>
      </c>
      <c r="S73" s="34" t="str">
        <f>IFERROR(__xludf.DUMMYFUNCTION("IF(query(Data!A:M,CONCATENATE(""select Col13 where Col1 = '"",C73,""' and Col8 = 'Bias and Unfair Discrimination'""),0)&gt;70,1,0)"),"#REF!")</f>
        <v>#REF!</v>
      </c>
      <c r="T73" s="34" t="str">
        <f>IFERROR(__xludf.DUMMYFUNCTION("IF(query(Data!A:M,CONCATENATE(""select Col13 where Col1 = '"",C73,""' and Col8 = 'Childrens Rights'""),0)&gt;70,1,0)"),"#REF!")</f>
        <v>#REF!</v>
      </c>
      <c r="U73" s="34" t="str">
        <f>IFERROR(__xludf.DUMMYFUNCTION("IF(query(Data!A:M,CONCATENATE(""select Col13 where Col1 = '"",C73,""' and Col8 = 'Cultural and Linguistic Diversity'""),0)&gt;70,1,0)"),"#REF!")</f>
        <v>#REF!</v>
      </c>
      <c r="V73" s="34" t="str">
        <f>IFERROR(__xludf.DUMMYFUNCTION("IF(query(Data!A:M,CONCATENATE(""select Col13 where Col1 = '"",C73,""' and Col8 = 'Data Protection and Privacy'""),0)&gt;70,1,0)"),"#REF!")</f>
        <v>#REF!</v>
      </c>
      <c r="W73" s="34" t="str">
        <f>IFERROR(__xludf.DUMMYFUNCTION("IF(query(Data!A:M,CONCATENATE(""select Col13 where Col1 = '"",C73,""' and Col8 = 'Gender Equality'""),0)&gt;70,1,0)"),"#REF!")</f>
        <v>#REF!</v>
      </c>
      <c r="X73" s="34" t="str">
        <f>IFERROR(__xludf.DUMMYFUNCTION("IF(query(Data!A:M,CONCATENATE(""select Col13 where Col1 = '"",C73,""' and Col8 = 'Human Oversight and Determination'""),0)&gt;70,1,0)"),"#REF!")</f>
        <v>#REF!</v>
      </c>
      <c r="Y73" s="34" t="str">
        <f>IFERROR(__xludf.DUMMYFUNCTION("IF(query(Data!A:M,CONCATENATE(""select Col13 where Col1 = '"",C73,""' and Col8 = 'Labour Protection and Right to Work'""),0)&gt;70,1,0)"),"#REF!")</f>
        <v>#REF!</v>
      </c>
      <c r="Z73" s="34" t="str">
        <f>IFERROR(__xludf.DUMMYFUNCTION("IF(query(Data!A:M,CONCATENATE(""select Col13 where Col1 = '"",C73,""' and Col8 = 'Safety, Accuracy and Reliability'""),0)&gt;70,1,0)"),"#REF!")</f>
        <v>#REF!</v>
      </c>
      <c r="AA73" s="34" t="str">
        <f>IFERROR(__xludf.DUMMYFUNCTION("IF(query(Data!A:M,CONCATENATE(""select Col13 where Col1 = '"",C73,""' and Col8 = 'Transparency and Explainability'""),0)&gt;70,1,0)"),"#REF!")</f>
        <v>#REF!</v>
      </c>
      <c r="AB73" s="35">
        <f t="shared" si="2"/>
        <v>0</v>
      </c>
      <c r="AC73" s="35">
        <f t="shared" si="3"/>
        <v>0</v>
      </c>
      <c r="AD73" s="35">
        <f t="shared" si="4"/>
        <v>0</v>
      </c>
      <c r="AE73" s="35">
        <f t="shared" si="5"/>
        <v>0</v>
      </c>
      <c r="AF73" s="35">
        <f t="shared" si="6"/>
        <v>0</v>
      </c>
      <c r="AG73" s="35" t="str">
        <f t="shared" si="7"/>
        <v>No</v>
      </c>
      <c r="AH73" s="35" t="str">
        <f>IFERROR(__xludf.DUMMYFUNCTION("IFERROR(query(query(Data!A:BS,CONCATENATE(""select Col50, count(Col49) where Col1 = '"",C73,""' group by Col50"")), CONCATENATE(""select Col1 where Col2 = "",query(query(query(Data!A:BS,CONCATENATE(""select Col50, count(Col49) where Col1 = '"",C73,""' and"&amp;" Col50 &lt;&gt; 'Other' and Col50 is not null group by Col50"")),""select max(Col2)"",0),""Select *"",0),"" limit 1""),0))"),"")</f>
        <v/>
      </c>
      <c r="AI73" s="35" t="str">
        <f t="shared" si="8"/>
        <v/>
      </c>
      <c r="AJ73" s="35" t="str">
        <f t="shared" si="9"/>
        <v>No</v>
      </c>
      <c r="AK73" s="35" t="str">
        <f>IFERROR(__xludf.DUMMYFUNCTION("IFERROR(query(query(Data!A:BS,CONCATENATE(""select Col70, count(Col69) where Col1 = '"",C73,""' group by Col70"")), CONCATENATE(""select Col1 where Col2 = "",query(query(query(Data!A:BS,CONCATENATE(""select Col70, count(Col69) where Col1 = '"",C73,""' and"&amp;" Col70 &lt;&gt; 'Other' and Col70 is not null group by Col70"")),""select max(Col2)"",0),""Select *"",0),"" limit 1""),0))"),"")</f>
        <v/>
      </c>
      <c r="AL73" s="35" t="str">
        <f t="shared" si="10"/>
        <v/>
      </c>
      <c r="AM73" s="35"/>
      <c r="AN73" s="35"/>
      <c r="AO73" s="35"/>
      <c r="AP73" s="35"/>
      <c r="AQ73" s="35"/>
      <c r="AR73" s="35"/>
      <c r="AS73" s="35"/>
      <c r="AT73" s="35"/>
      <c r="AU73" s="35"/>
      <c r="AV73" s="35"/>
    </row>
    <row r="74">
      <c r="A74" s="25">
        <v>57.0</v>
      </c>
      <c r="B74" s="26" t="s">
        <v>255</v>
      </c>
      <c r="C74" s="27" t="s">
        <v>256</v>
      </c>
      <c r="D74" s="28" t="s">
        <v>256</v>
      </c>
      <c r="E74" s="28" t="s">
        <v>69</v>
      </c>
      <c r="F74" s="28" t="s">
        <v>47</v>
      </c>
      <c r="G74" s="28" t="s">
        <v>70</v>
      </c>
      <c r="H74" s="29">
        <v>19.113807497191843</v>
      </c>
      <c r="I74" s="30">
        <v>0.0</v>
      </c>
      <c r="J74" s="30">
        <v>35.791645935962066</v>
      </c>
      <c r="K74" s="30">
        <v>23.985745614035086</v>
      </c>
      <c r="L74" s="31">
        <v>23.392571428571426</v>
      </c>
      <c r="M74" s="31">
        <v>15.851777777777777</v>
      </c>
      <c r="N74" s="31">
        <v>18.916333333333334</v>
      </c>
      <c r="O74" s="32" t="s">
        <v>54</v>
      </c>
      <c r="P74" s="32" t="s">
        <v>54</v>
      </c>
      <c r="Q74" s="32" t="s">
        <v>80</v>
      </c>
      <c r="R74" s="33" t="str">
        <f t="shared" si="1"/>
        <v>ddhh</v>
      </c>
      <c r="S74" s="34" t="str">
        <f>IFERROR(__xludf.DUMMYFUNCTION("IF(query(Data!A:M,CONCATENATE(""select Col13 where Col1 = '"",C74,""' and Col8 = 'Bias and Unfair Discrimination'""),0)&gt;70,1,0)"),"#REF!")</f>
        <v>#REF!</v>
      </c>
      <c r="T74" s="34" t="str">
        <f>IFERROR(__xludf.DUMMYFUNCTION("IF(query(Data!A:M,CONCATENATE(""select Col13 where Col1 = '"",C74,""' and Col8 = 'Childrens Rights'""),0)&gt;70,1,0)"),"#REF!")</f>
        <v>#REF!</v>
      </c>
      <c r="U74" s="34" t="str">
        <f>IFERROR(__xludf.DUMMYFUNCTION("IF(query(Data!A:M,CONCATENATE(""select Col13 where Col1 = '"",C74,""' and Col8 = 'Cultural and Linguistic Diversity'""),0)&gt;70,1,0)"),"#REF!")</f>
        <v>#REF!</v>
      </c>
      <c r="V74" s="34" t="str">
        <f>IFERROR(__xludf.DUMMYFUNCTION("IF(query(Data!A:M,CONCATENATE(""select Col13 where Col1 = '"",C74,""' and Col8 = 'Data Protection and Privacy'""),0)&gt;70,1,0)"),"#REF!")</f>
        <v>#REF!</v>
      </c>
      <c r="W74" s="34" t="str">
        <f>IFERROR(__xludf.DUMMYFUNCTION("IF(query(Data!A:M,CONCATENATE(""select Col13 where Col1 = '"",C74,""' and Col8 = 'Gender Equality'""),0)&gt;70,1,0)"),"#REF!")</f>
        <v>#REF!</v>
      </c>
      <c r="X74" s="34" t="str">
        <f>IFERROR(__xludf.DUMMYFUNCTION("IF(query(Data!A:M,CONCATENATE(""select Col13 where Col1 = '"",C74,""' and Col8 = 'Human Oversight and Determination'""),0)&gt;70,1,0)"),"#REF!")</f>
        <v>#REF!</v>
      </c>
      <c r="Y74" s="34" t="str">
        <f>IFERROR(__xludf.DUMMYFUNCTION("IF(query(Data!A:M,CONCATENATE(""select Col13 where Col1 = '"",C74,""' and Col8 = 'Labour Protection and Right to Work'""),0)&gt;70,1,0)"),"#REF!")</f>
        <v>#REF!</v>
      </c>
      <c r="Z74" s="34" t="str">
        <f>IFERROR(__xludf.DUMMYFUNCTION("IF(query(Data!A:M,CONCATENATE(""select Col13 where Col1 = '"",C74,""' and Col8 = 'Safety, Accuracy and Reliability'""),0)&gt;70,1,0)"),"#REF!")</f>
        <v>#REF!</v>
      </c>
      <c r="AA74" s="34" t="str">
        <f>IFERROR(__xludf.DUMMYFUNCTION("IF(query(Data!A:M,CONCATENATE(""select Col13 where Col1 = '"",C74,""' and Col8 = 'Transparency and Explainability'""),0)&gt;70,1,0)"),"#REF!")</f>
        <v>#REF!</v>
      </c>
      <c r="AB74" s="35">
        <f t="shared" si="2"/>
        <v>0</v>
      </c>
      <c r="AC74" s="35">
        <f t="shared" si="3"/>
        <v>0</v>
      </c>
      <c r="AD74" s="35">
        <f t="shared" si="4"/>
        <v>0</v>
      </c>
      <c r="AE74" s="35">
        <f t="shared" si="5"/>
        <v>0</v>
      </c>
      <c r="AF74" s="35">
        <f t="shared" si="6"/>
        <v>0</v>
      </c>
      <c r="AG74" s="35" t="str">
        <f t="shared" si="7"/>
        <v>No</v>
      </c>
      <c r="AH74" s="35" t="str">
        <f>IFERROR(__xludf.DUMMYFUNCTION("IFERROR(query(query(Data!A:BS,CONCATENATE(""select Col50, count(Col49) where Col1 = '"",C74,""' group by Col50"")), CONCATENATE(""select Col1 where Col2 = "",query(query(query(Data!A:BS,CONCATENATE(""select Col50, count(Col49) where Col1 = '"",C74,""' and"&amp;" Col50 &lt;&gt; 'Other' and Col50 is not null group by Col50"")),""select max(Col2)"",0),""Select *"",0),"" limit 1""),0))"),"")</f>
        <v/>
      </c>
      <c r="AI74" s="35" t="str">
        <f t="shared" si="8"/>
        <v/>
      </c>
      <c r="AJ74" s="35" t="str">
        <f t="shared" si="9"/>
        <v>No</v>
      </c>
      <c r="AK74" s="35" t="str">
        <f>IFERROR(__xludf.DUMMYFUNCTION("IFERROR(query(query(Data!A:BS,CONCATENATE(""select Col70, count(Col69) where Col1 = '"",C74,""' group by Col70"")), CONCATENATE(""select Col1 where Col2 = "",query(query(query(Data!A:BS,CONCATENATE(""select Col70, count(Col69) where Col1 = '"",C74,""' and"&amp;" Col70 &lt;&gt; 'Other' and Col70 is not null group by Col70"")),""select max(Col2)"",0),""Select *"",0),"" limit 1""),0))"),"")</f>
        <v/>
      </c>
      <c r="AL74" s="35" t="str">
        <f t="shared" si="10"/>
        <v/>
      </c>
      <c r="AM74" s="35"/>
      <c r="AN74" s="35"/>
      <c r="AO74" s="35"/>
      <c r="AP74" s="35"/>
      <c r="AQ74" s="35"/>
      <c r="AR74" s="35"/>
      <c r="AS74" s="35"/>
      <c r="AT74" s="35"/>
      <c r="AU74" s="35"/>
      <c r="AV74" s="35"/>
    </row>
    <row r="75">
      <c r="A75" s="25">
        <v>121.0</v>
      </c>
      <c r="B75" s="26" t="s">
        <v>257</v>
      </c>
      <c r="C75" s="27" t="s">
        <v>258</v>
      </c>
      <c r="D75" s="28" t="s">
        <v>259</v>
      </c>
      <c r="E75" s="28" t="s">
        <v>74</v>
      </c>
      <c r="F75" s="28" t="s">
        <v>74</v>
      </c>
      <c r="G75" s="28" t="s">
        <v>106</v>
      </c>
      <c r="H75" s="29">
        <v>1.159136044853612</v>
      </c>
      <c r="I75" s="30">
        <v>0.0</v>
      </c>
      <c r="J75" s="30">
        <v>2.239945375291925</v>
      </c>
      <c r="K75" s="30">
        <v>1.3157894736842104</v>
      </c>
      <c r="L75" s="31">
        <v>0.7142857142857143</v>
      </c>
      <c r="M75" s="31">
        <v>0.0</v>
      </c>
      <c r="N75" s="31">
        <v>5.674666666666667</v>
      </c>
      <c r="O75" s="32" t="s">
        <v>76</v>
      </c>
      <c r="P75" s="32" t="s">
        <v>76</v>
      </c>
      <c r="Q75" s="32" t="s">
        <v>54</v>
      </c>
      <c r="R75" s="33" t="str">
        <f t="shared" si="1"/>
        <v>cap</v>
      </c>
      <c r="S75" s="34" t="str">
        <f>IFERROR(__xludf.DUMMYFUNCTION("IF(query(Data!A:M,CONCATENATE(""select Col13 where Col1 = '"",C75,""' and Col8 = 'Bias and Unfair Discrimination'""),0)&gt;70,1,0)"),"#REF!")</f>
        <v>#REF!</v>
      </c>
      <c r="T75" s="34" t="str">
        <f>IFERROR(__xludf.DUMMYFUNCTION("IF(query(Data!A:M,CONCATENATE(""select Col13 where Col1 = '"",C75,""' and Col8 = 'Childrens Rights'""),0)&gt;70,1,0)"),"#REF!")</f>
        <v>#REF!</v>
      </c>
      <c r="U75" s="34" t="str">
        <f>IFERROR(__xludf.DUMMYFUNCTION("IF(query(Data!A:M,CONCATENATE(""select Col13 where Col1 = '"",C75,""' and Col8 = 'Cultural and Linguistic Diversity'""),0)&gt;70,1,0)"),"#REF!")</f>
        <v>#REF!</v>
      </c>
      <c r="V75" s="34" t="str">
        <f>IFERROR(__xludf.DUMMYFUNCTION("IF(query(Data!A:M,CONCATENATE(""select Col13 where Col1 = '"",C75,""' and Col8 = 'Data Protection and Privacy'""),0)&gt;70,1,0)"),"#REF!")</f>
        <v>#REF!</v>
      </c>
      <c r="W75" s="34" t="str">
        <f>IFERROR(__xludf.DUMMYFUNCTION("IF(query(Data!A:M,CONCATENATE(""select Col13 where Col1 = '"",C75,""' and Col8 = 'Gender Equality'""),0)&gt;70,1,0)"),"#REF!")</f>
        <v>#REF!</v>
      </c>
      <c r="X75" s="34" t="str">
        <f>IFERROR(__xludf.DUMMYFUNCTION("IF(query(Data!A:M,CONCATENATE(""select Col13 where Col1 = '"",C75,""' and Col8 = 'Human Oversight and Determination'""),0)&gt;70,1,0)"),"#REF!")</f>
        <v>#REF!</v>
      </c>
      <c r="Y75" s="34" t="str">
        <f>IFERROR(__xludf.DUMMYFUNCTION("IF(query(Data!A:M,CONCATENATE(""select Col13 where Col1 = '"",C75,""' and Col8 = 'Labour Protection and Right to Work'""),0)&gt;70,1,0)"),"#REF!")</f>
        <v>#REF!</v>
      </c>
      <c r="Z75" s="34" t="str">
        <f>IFERROR(__xludf.DUMMYFUNCTION("IF(query(Data!A:M,CONCATENATE(""select Col13 where Col1 = '"",C75,""' and Col8 = 'Safety, Accuracy and Reliability'""),0)&gt;70,1,0)"),"#REF!")</f>
        <v>#REF!</v>
      </c>
      <c r="AA75" s="34" t="str">
        <f>IFERROR(__xludf.DUMMYFUNCTION("IF(query(Data!A:M,CONCATENATE(""select Col13 where Col1 = '"",C75,""' and Col8 = 'Transparency and Explainability'""),0)&gt;70,1,0)"),"#REF!")</f>
        <v>#REF!</v>
      </c>
      <c r="AB75" s="35">
        <f t="shared" si="2"/>
        <v>0</v>
      </c>
      <c r="AC75" s="35">
        <f t="shared" si="3"/>
        <v>0</v>
      </c>
      <c r="AD75" s="35">
        <f t="shared" si="4"/>
        <v>0</v>
      </c>
      <c r="AE75" s="35">
        <f t="shared" si="5"/>
        <v>0</v>
      </c>
      <c r="AF75" s="35">
        <f t="shared" si="6"/>
        <v>0</v>
      </c>
      <c r="AG75" s="35" t="str">
        <f t="shared" si="7"/>
        <v>No</v>
      </c>
      <c r="AH75" s="35" t="str">
        <f>IFERROR(__xludf.DUMMYFUNCTION("IFERROR(query(query(Data!A:BS,CONCATENATE(""select Col50, count(Col49) where Col1 = '"",C75,""' group by Col50"")), CONCATENATE(""select Col1 where Col2 = "",query(query(query(Data!A:BS,CONCATENATE(""select Col50, count(Col49) where Col1 = '"",C75,""' and"&amp;" Col50 &lt;&gt; 'Other' and Col50 is not null group by Col50"")),""select max(Col2)"",0),""Select *"",0),"" limit 1""),0))"),"")</f>
        <v/>
      </c>
      <c r="AI75" s="35" t="str">
        <f t="shared" si="8"/>
        <v/>
      </c>
      <c r="AJ75" s="35" t="str">
        <f t="shared" si="9"/>
        <v>No</v>
      </c>
      <c r="AK75" s="35" t="str">
        <f>IFERROR(__xludf.DUMMYFUNCTION("IFERROR(query(query(Data!A:BS,CONCATENATE(""select Col70, count(Col69) where Col1 = '"",C75,""' group by Col70"")), CONCATENATE(""select Col1 where Col2 = "",query(query(query(Data!A:BS,CONCATENATE(""select Col70, count(Col69) where Col1 = '"",C75,""' and"&amp;" Col70 &lt;&gt; 'Other' and Col70 is not null group by Col70"")),""select max(Col2)"",0),""Select *"",0),"" limit 1""),0))"),"")</f>
        <v/>
      </c>
      <c r="AL75" s="35" t="str">
        <f t="shared" si="10"/>
        <v/>
      </c>
      <c r="AM75" s="35"/>
      <c r="AN75" s="35"/>
      <c r="AO75" s="35"/>
      <c r="AP75" s="35"/>
      <c r="AQ75" s="35"/>
      <c r="AR75" s="35"/>
      <c r="AS75" s="35"/>
      <c r="AT75" s="35"/>
      <c r="AU75" s="35"/>
      <c r="AV75" s="35"/>
    </row>
    <row r="76">
      <c r="A76" s="25">
        <v>45.0</v>
      </c>
      <c r="B76" s="26" t="s">
        <v>260</v>
      </c>
      <c r="C76" s="27" t="s">
        <v>261</v>
      </c>
      <c r="D76" s="28" t="s">
        <v>262</v>
      </c>
      <c r="E76" s="28" t="s">
        <v>52</v>
      </c>
      <c r="F76" s="28" t="s">
        <v>52</v>
      </c>
      <c r="G76" s="28" t="s">
        <v>186</v>
      </c>
      <c r="H76" s="29">
        <v>26.73831099928471</v>
      </c>
      <c r="I76" s="30">
        <v>45.64920575995194</v>
      </c>
      <c r="J76" s="30">
        <v>11.999751562821237</v>
      </c>
      <c r="K76" s="30">
        <v>18.393640350877188</v>
      </c>
      <c r="L76" s="31">
        <v>24.50271428571429</v>
      </c>
      <c r="M76" s="31">
        <v>25.717111111111112</v>
      </c>
      <c r="N76" s="31">
        <v>35.01833333333333</v>
      </c>
      <c r="O76" s="32" t="s">
        <v>59</v>
      </c>
      <c r="P76" s="32" t="s">
        <v>54</v>
      </c>
      <c r="Q76" s="32" t="s">
        <v>59</v>
      </c>
      <c r="R76" s="33" t="str">
        <f t="shared" si="1"/>
        <v>cap</v>
      </c>
      <c r="S76" s="34" t="str">
        <f>IFERROR(__xludf.DUMMYFUNCTION("IF(query(Data!A:M,CONCATENATE(""select Col13 where Col1 = '"",C76,""' and Col8 = 'Bias and Unfair Discrimination'""),0)&gt;70,1,0)"),"#REF!")</f>
        <v>#REF!</v>
      </c>
      <c r="T76" s="34" t="str">
        <f>IFERROR(__xludf.DUMMYFUNCTION("IF(query(Data!A:M,CONCATENATE(""select Col13 where Col1 = '"",C76,""' and Col8 = 'Childrens Rights'""),0)&gt;70,1,0)"),"#REF!")</f>
        <v>#REF!</v>
      </c>
      <c r="U76" s="34" t="str">
        <f>IFERROR(__xludf.DUMMYFUNCTION("IF(query(Data!A:M,CONCATENATE(""select Col13 where Col1 = '"",C76,""' and Col8 = 'Cultural and Linguistic Diversity'""),0)&gt;70,1,0)"),"#REF!")</f>
        <v>#REF!</v>
      </c>
      <c r="V76" s="34" t="str">
        <f>IFERROR(__xludf.DUMMYFUNCTION("IF(query(Data!A:M,CONCATENATE(""select Col13 where Col1 = '"",C76,""' and Col8 = 'Data Protection and Privacy'""),0)&gt;70,1,0)"),"#REF!")</f>
        <v>#REF!</v>
      </c>
      <c r="W76" s="34" t="str">
        <f>IFERROR(__xludf.DUMMYFUNCTION("IF(query(Data!A:M,CONCATENATE(""select Col13 where Col1 = '"",C76,""' and Col8 = 'Gender Equality'""),0)&gt;70,1,0)"),"#REF!")</f>
        <v>#REF!</v>
      </c>
      <c r="X76" s="34" t="str">
        <f>IFERROR(__xludf.DUMMYFUNCTION("IF(query(Data!A:M,CONCATENATE(""select Col13 where Col1 = '"",C76,""' and Col8 = 'Human Oversight and Determination'""),0)&gt;70,1,0)"),"#REF!")</f>
        <v>#REF!</v>
      </c>
      <c r="Y76" s="34" t="str">
        <f>IFERROR(__xludf.DUMMYFUNCTION("IF(query(Data!A:M,CONCATENATE(""select Col13 where Col1 = '"",C76,""' and Col8 = 'Labour Protection and Right to Work'""),0)&gt;70,1,0)"),"#REF!")</f>
        <v>#REF!</v>
      </c>
      <c r="Z76" s="34" t="str">
        <f>IFERROR(__xludf.DUMMYFUNCTION("IF(query(Data!A:M,CONCATENATE(""select Col13 where Col1 = '"",C76,""' and Col8 = 'Safety, Accuracy and Reliability'""),0)&gt;70,1,0)"),"#REF!")</f>
        <v>#REF!</v>
      </c>
      <c r="AA76" s="34" t="str">
        <f>IFERROR(__xludf.DUMMYFUNCTION("IF(query(Data!A:M,CONCATENATE(""select Col13 where Col1 = '"",C76,""' and Col8 = 'Transparency and Explainability'""),0)&gt;70,1,0)"),"#REF!")</f>
        <v>#REF!</v>
      </c>
      <c r="AB76" s="35">
        <f t="shared" si="2"/>
        <v>0</v>
      </c>
      <c r="AC76" s="35">
        <f t="shared" si="3"/>
        <v>0</v>
      </c>
      <c r="AD76" s="35">
        <f t="shared" si="4"/>
        <v>0</v>
      </c>
      <c r="AE76" s="35">
        <f t="shared" si="5"/>
        <v>0</v>
      </c>
      <c r="AF76" s="35">
        <f t="shared" si="6"/>
        <v>0</v>
      </c>
      <c r="AG76" s="35" t="str">
        <f t="shared" si="7"/>
        <v>No</v>
      </c>
      <c r="AH76" s="35" t="str">
        <f>IFERROR(__xludf.DUMMYFUNCTION("IFERROR(query(query(Data!A:BS,CONCATENATE(""select Col50, count(Col49) where Col1 = '"",C76,""' group by Col50"")), CONCATENATE(""select Col1 where Col2 = "",query(query(query(Data!A:BS,CONCATENATE(""select Col50, count(Col49) where Col1 = '"",C76,""' and"&amp;" Col50 &lt;&gt; 'Other' and Col50 is not null group by Col50"")),""select max(Col2)"",0),""Select *"",0),"" limit 1""),0))"),"")</f>
        <v/>
      </c>
      <c r="AI76" s="35" t="str">
        <f t="shared" si="8"/>
        <v/>
      </c>
      <c r="AJ76" s="35" t="str">
        <f t="shared" si="9"/>
        <v>No</v>
      </c>
      <c r="AK76" s="35" t="str">
        <f>IFERROR(__xludf.DUMMYFUNCTION("IFERROR(query(query(Data!A:BS,CONCATENATE(""select Col70, count(Col69) where Col1 = '"",C76,""' group by Col70"")), CONCATENATE(""select Col1 where Col2 = "",query(query(query(Data!A:BS,CONCATENATE(""select Col70, count(Col69) where Col1 = '"",C76,""' and"&amp;" Col70 &lt;&gt; 'Other' and Col70 is not null group by Col70"")),""select max(Col2)"",0),""Select *"",0),"" limit 1""),0))"),"")</f>
        <v/>
      </c>
      <c r="AL76" s="35" t="str">
        <f t="shared" si="10"/>
        <v/>
      </c>
      <c r="AM76" s="35"/>
      <c r="AN76" s="35"/>
      <c r="AO76" s="35"/>
      <c r="AP76" s="35"/>
      <c r="AQ76" s="35"/>
      <c r="AR76" s="35"/>
      <c r="AS76" s="35"/>
      <c r="AT76" s="35"/>
      <c r="AU76" s="35"/>
      <c r="AV76" s="35"/>
    </row>
    <row r="77">
      <c r="A77" s="25">
        <v>99.0</v>
      </c>
      <c r="B77" s="26" t="s">
        <v>263</v>
      </c>
      <c r="C77" s="27" t="s">
        <v>264</v>
      </c>
      <c r="D77" s="28" t="s">
        <v>265</v>
      </c>
      <c r="E77" s="28" t="s">
        <v>69</v>
      </c>
      <c r="F77" s="28" t="s">
        <v>47</v>
      </c>
      <c r="G77" s="28" t="s">
        <v>70</v>
      </c>
      <c r="H77" s="29">
        <v>3.6858862884421093</v>
      </c>
      <c r="I77" s="30">
        <v>1.855759670859889</v>
      </c>
      <c r="J77" s="30">
        <v>1.5612586818243328</v>
      </c>
      <c r="K77" s="30">
        <v>11.595394736842103</v>
      </c>
      <c r="L77" s="31">
        <v>3.497142857142857</v>
      </c>
      <c r="M77" s="31">
        <v>2.655111111111111</v>
      </c>
      <c r="N77" s="31">
        <v>7.219</v>
      </c>
      <c r="O77" s="32" t="s">
        <v>49</v>
      </c>
      <c r="P77" s="32" t="s">
        <v>49</v>
      </c>
      <c r="Q77" s="32" t="s">
        <v>54</v>
      </c>
      <c r="R77" s="33" t="str">
        <f t="shared" si="1"/>
        <v>cap</v>
      </c>
      <c r="S77" s="34" t="str">
        <f>IFERROR(__xludf.DUMMYFUNCTION("IF(query(Data!A:M,CONCATENATE(""select Col13 where Col1 = '"",C77,""' and Col8 = 'Bias and Unfair Discrimination'""),0)&gt;70,1,0)"),"#REF!")</f>
        <v>#REF!</v>
      </c>
      <c r="T77" s="34" t="str">
        <f>IFERROR(__xludf.DUMMYFUNCTION("IF(query(Data!A:M,CONCATENATE(""select Col13 where Col1 = '"",C77,""' and Col8 = 'Childrens Rights'""),0)&gt;70,1,0)"),"#REF!")</f>
        <v>#REF!</v>
      </c>
      <c r="U77" s="34" t="str">
        <f>IFERROR(__xludf.DUMMYFUNCTION("IF(query(Data!A:M,CONCATENATE(""select Col13 where Col1 = '"",C77,""' and Col8 = 'Cultural and Linguistic Diversity'""),0)&gt;70,1,0)"),"#REF!")</f>
        <v>#REF!</v>
      </c>
      <c r="V77" s="34" t="str">
        <f>IFERROR(__xludf.DUMMYFUNCTION("IF(query(Data!A:M,CONCATENATE(""select Col13 where Col1 = '"",C77,""' and Col8 = 'Data Protection and Privacy'""),0)&gt;70,1,0)"),"#REF!")</f>
        <v>#REF!</v>
      </c>
      <c r="W77" s="34" t="str">
        <f>IFERROR(__xludf.DUMMYFUNCTION("IF(query(Data!A:M,CONCATENATE(""select Col13 where Col1 = '"",C77,""' and Col8 = 'Gender Equality'""),0)&gt;70,1,0)"),"#REF!")</f>
        <v>#REF!</v>
      </c>
      <c r="X77" s="34" t="str">
        <f>IFERROR(__xludf.DUMMYFUNCTION("IF(query(Data!A:M,CONCATENATE(""select Col13 where Col1 = '"",C77,""' and Col8 = 'Human Oversight and Determination'""),0)&gt;70,1,0)"),"#REF!")</f>
        <v>#REF!</v>
      </c>
      <c r="Y77" s="34" t="str">
        <f>IFERROR(__xludf.DUMMYFUNCTION("IF(query(Data!A:M,CONCATENATE(""select Col13 where Col1 = '"",C77,""' and Col8 = 'Labour Protection and Right to Work'""),0)&gt;70,1,0)"),"#REF!")</f>
        <v>#REF!</v>
      </c>
      <c r="Z77" s="34" t="str">
        <f>IFERROR(__xludf.DUMMYFUNCTION("IF(query(Data!A:M,CONCATENATE(""select Col13 where Col1 = '"",C77,""' and Col8 = 'Safety, Accuracy and Reliability'""),0)&gt;70,1,0)"),"#REF!")</f>
        <v>#REF!</v>
      </c>
      <c r="AA77" s="34" t="str">
        <f>IFERROR(__xludf.DUMMYFUNCTION("IF(query(Data!A:M,CONCATENATE(""select Col13 where Col1 = '"",C77,""' and Col8 = 'Transparency and Explainability'""),0)&gt;70,1,0)"),"#REF!")</f>
        <v>#REF!</v>
      </c>
      <c r="AB77" s="35">
        <f t="shared" si="2"/>
        <v>0</v>
      </c>
      <c r="AC77" s="35">
        <f t="shared" si="3"/>
        <v>0</v>
      </c>
      <c r="AD77" s="35">
        <f t="shared" si="4"/>
        <v>0</v>
      </c>
      <c r="AE77" s="35">
        <f t="shared" si="5"/>
        <v>0</v>
      </c>
      <c r="AF77" s="35">
        <f t="shared" si="6"/>
        <v>0</v>
      </c>
      <c r="AG77" s="35" t="str">
        <f t="shared" si="7"/>
        <v>No</v>
      </c>
      <c r="AH77" s="35" t="str">
        <f>IFERROR(__xludf.DUMMYFUNCTION("IFERROR(query(query(Data!A:BS,CONCATENATE(""select Col50, count(Col49) where Col1 = '"",C77,""' group by Col50"")), CONCATENATE(""select Col1 where Col2 = "",query(query(query(Data!A:BS,CONCATENATE(""select Col50, count(Col49) where Col1 = '"",C77,""' and"&amp;" Col50 &lt;&gt; 'Other' and Col50 is not null group by Col50"")),""select max(Col2)"",0),""Select *"",0),"" limit 1""),0))"),"")</f>
        <v/>
      </c>
      <c r="AI77" s="35" t="str">
        <f t="shared" si="8"/>
        <v/>
      </c>
      <c r="AJ77" s="35" t="str">
        <f t="shared" si="9"/>
        <v>No</v>
      </c>
      <c r="AK77" s="35" t="str">
        <f>IFERROR(__xludf.DUMMYFUNCTION("IFERROR(query(query(Data!A:BS,CONCATENATE(""select Col70, count(Col69) where Col1 = '"",C77,""' group by Col70"")), CONCATENATE(""select Col1 where Col2 = "",query(query(query(Data!A:BS,CONCATENATE(""select Col70, count(Col69) where Col1 = '"",C77,""' and"&amp;" Col70 &lt;&gt; 'Other' and Col70 is not null group by Col70"")),""select max(Col2)"",0),""Select *"",0),"" limit 1""),0))"),"")</f>
        <v/>
      </c>
      <c r="AL77" s="35" t="str">
        <f t="shared" si="10"/>
        <v/>
      </c>
      <c r="AM77" s="35"/>
      <c r="AN77" s="35"/>
      <c r="AO77" s="35"/>
      <c r="AP77" s="35"/>
      <c r="AQ77" s="35"/>
      <c r="AR77" s="35"/>
      <c r="AS77" s="35"/>
      <c r="AT77" s="35"/>
      <c r="AU77" s="35"/>
      <c r="AV77" s="35"/>
    </row>
    <row r="78">
      <c r="A78" s="25">
        <v>133.0</v>
      </c>
      <c r="B78" s="26" t="s">
        <v>266</v>
      </c>
      <c r="C78" s="27" t="s">
        <v>267</v>
      </c>
      <c r="D78" s="28" t="s">
        <v>267</v>
      </c>
      <c r="E78" s="28" t="s">
        <v>74</v>
      </c>
      <c r="F78" s="28" t="s">
        <v>74</v>
      </c>
      <c r="G78" s="28" t="s">
        <v>106</v>
      </c>
      <c r="H78" s="29">
        <v>0.6747765556134677</v>
      </c>
      <c r="I78" s="30">
        <v>0.0</v>
      </c>
      <c r="J78" s="30">
        <v>1.686941389033669</v>
      </c>
      <c r="K78" s="30">
        <v>0.0</v>
      </c>
      <c r="L78" s="31">
        <v>0.0</v>
      </c>
      <c r="M78" s="31">
        <v>0.0</v>
      </c>
      <c r="N78" s="31">
        <v>4.273666666666666</v>
      </c>
      <c r="O78" s="32" t="s">
        <v>49</v>
      </c>
      <c r="P78" s="32" t="s">
        <v>49</v>
      </c>
      <c r="Q78" s="32" t="s">
        <v>54</v>
      </c>
      <c r="R78" s="33" t="str">
        <f t="shared" si="1"/>
        <v>cap</v>
      </c>
      <c r="S78" s="34" t="str">
        <f>IFERROR(__xludf.DUMMYFUNCTION("IF(query(Data!A:M,CONCATENATE(""select Col13 where Col1 = '"",C78,""' and Col8 = 'Bias and Unfair Discrimination'""),0)&gt;70,1,0)"),"#REF!")</f>
        <v>#REF!</v>
      </c>
      <c r="T78" s="34" t="str">
        <f>IFERROR(__xludf.DUMMYFUNCTION("IF(query(Data!A:M,CONCATENATE(""select Col13 where Col1 = '"",C78,""' and Col8 = 'Childrens Rights'""),0)&gt;70,1,0)"),"#REF!")</f>
        <v>#REF!</v>
      </c>
      <c r="U78" s="34" t="str">
        <f>IFERROR(__xludf.DUMMYFUNCTION("IF(query(Data!A:M,CONCATENATE(""select Col13 where Col1 = '"",C78,""' and Col8 = 'Cultural and Linguistic Diversity'""),0)&gt;70,1,0)"),"#REF!")</f>
        <v>#REF!</v>
      </c>
      <c r="V78" s="34" t="str">
        <f>IFERROR(__xludf.DUMMYFUNCTION("IF(query(Data!A:M,CONCATENATE(""select Col13 where Col1 = '"",C78,""' and Col8 = 'Data Protection and Privacy'""),0)&gt;70,1,0)"),"#REF!")</f>
        <v>#REF!</v>
      </c>
      <c r="W78" s="34" t="str">
        <f>IFERROR(__xludf.DUMMYFUNCTION("IF(query(Data!A:M,CONCATENATE(""select Col13 where Col1 = '"",C78,""' and Col8 = 'Gender Equality'""),0)&gt;70,1,0)"),"#REF!")</f>
        <v>#REF!</v>
      </c>
      <c r="X78" s="34" t="str">
        <f>IFERROR(__xludf.DUMMYFUNCTION("IF(query(Data!A:M,CONCATENATE(""select Col13 where Col1 = '"",C78,""' and Col8 = 'Human Oversight and Determination'""),0)&gt;70,1,0)"),"#REF!")</f>
        <v>#REF!</v>
      </c>
      <c r="Y78" s="34" t="str">
        <f>IFERROR(__xludf.DUMMYFUNCTION("IF(query(Data!A:M,CONCATENATE(""select Col13 where Col1 = '"",C78,""' and Col8 = 'Labour Protection and Right to Work'""),0)&gt;70,1,0)"),"#REF!")</f>
        <v>#REF!</v>
      </c>
      <c r="Z78" s="34" t="str">
        <f>IFERROR(__xludf.DUMMYFUNCTION("IF(query(Data!A:M,CONCATENATE(""select Col13 where Col1 = '"",C78,""' and Col8 = 'Safety, Accuracy and Reliability'""),0)&gt;70,1,0)"),"#REF!")</f>
        <v>#REF!</v>
      </c>
      <c r="AA78" s="34" t="str">
        <f>IFERROR(__xludf.DUMMYFUNCTION("IF(query(Data!A:M,CONCATENATE(""select Col13 where Col1 = '"",C78,""' and Col8 = 'Transparency and Explainability'""),0)&gt;70,1,0)"),"#REF!")</f>
        <v>#REF!</v>
      </c>
      <c r="AB78" s="35">
        <f t="shared" si="2"/>
        <v>0</v>
      </c>
      <c r="AC78" s="35">
        <f t="shared" si="3"/>
        <v>0</v>
      </c>
      <c r="AD78" s="35">
        <f t="shared" si="4"/>
        <v>0</v>
      </c>
      <c r="AE78" s="35">
        <f t="shared" si="5"/>
        <v>0</v>
      </c>
      <c r="AF78" s="35">
        <f t="shared" si="6"/>
        <v>0</v>
      </c>
      <c r="AG78" s="35" t="str">
        <f t="shared" si="7"/>
        <v>No</v>
      </c>
      <c r="AH78" s="35" t="str">
        <f>IFERROR(__xludf.DUMMYFUNCTION("IFERROR(query(query(Data!A:BS,CONCATENATE(""select Col50, count(Col49) where Col1 = '"",C78,""' group by Col50"")), CONCATENATE(""select Col1 where Col2 = "",query(query(query(Data!A:BS,CONCATENATE(""select Col50, count(Col49) where Col1 = '"",C78,""' and"&amp;" Col50 &lt;&gt; 'Other' and Col50 is not null group by Col50"")),""select max(Col2)"",0),""Select *"",0),"" limit 1""),0))"),"")</f>
        <v/>
      </c>
      <c r="AI78" s="35" t="str">
        <f t="shared" si="8"/>
        <v/>
      </c>
      <c r="AJ78" s="35" t="str">
        <f t="shared" si="9"/>
        <v>No</v>
      </c>
      <c r="AK78" s="35" t="str">
        <f>IFERROR(__xludf.DUMMYFUNCTION("IFERROR(query(query(Data!A:BS,CONCATENATE(""select Col70, count(Col69) where Col1 = '"",C78,""' group by Col70"")), CONCATENATE(""select Col1 where Col2 = "",query(query(query(Data!A:BS,CONCATENATE(""select Col70, count(Col69) where Col1 = '"",C78,""' and"&amp;" Col70 &lt;&gt; 'Other' and Col70 is not null group by Col70"")),""select max(Col2)"",0),""Select *"",0),"" limit 1""),0))"),"")</f>
        <v/>
      </c>
      <c r="AL78" s="35" t="str">
        <f t="shared" si="10"/>
        <v/>
      </c>
      <c r="AM78" s="35"/>
      <c r="AN78" s="35"/>
      <c r="AO78" s="35"/>
      <c r="AP78" s="35"/>
      <c r="AQ78" s="35"/>
      <c r="AR78" s="35"/>
      <c r="AS78" s="35"/>
      <c r="AT78" s="35"/>
      <c r="AU78" s="35"/>
      <c r="AV78" s="35"/>
    </row>
    <row r="79">
      <c r="A79" s="25">
        <v>94.0</v>
      </c>
      <c r="B79" s="26" t="s">
        <v>268</v>
      </c>
      <c r="C79" s="27" t="s">
        <v>269</v>
      </c>
      <c r="D79" s="28" t="s">
        <v>270</v>
      </c>
      <c r="E79" s="28" t="s">
        <v>74</v>
      </c>
      <c r="F79" s="28" t="s">
        <v>74</v>
      </c>
      <c r="G79" s="28" t="s">
        <v>75</v>
      </c>
      <c r="H79" s="29">
        <v>4.532449927915607</v>
      </c>
      <c r="I79" s="30">
        <v>0.0</v>
      </c>
      <c r="J79" s="30">
        <v>6.609359468911823</v>
      </c>
      <c r="K79" s="30">
        <v>9.443530701754387</v>
      </c>
      <c r="L79" s="31">
        <v>5.174</v>
      </c>
      <c r="M79" s="31">
        <v>2.3187777777777776</v>
      </c>
      <c r="N79" s="31">
        <v>9.676333333333334</v>
      </c>
      <c r="O79" s="32" t="s">
        <v>49</v>
      </c>
      <c r="P79" s="32" t="s">
        <v>49</v>
      </c>
      <c r="Q79" s="32" t="s">
        <v>76</v>
      </c>
      <c r="R79" s="33" t="str">
        <f t="shared" si="1"/>
        <v>cap</v>
      </c>
      <c r="S79" s="34" t="str">
        <f>IFERROR(__xludf.DUMMYFUNCTION("IF(query(Data!A:M,CONCATENATE(""select Col13 where Col1 = '"",C79,""' and Col8 = 'Bias and Unfair Discrimination'""),0)&gt;70,1,0)"),"#REF!")</f>
        <v>#REF!</v>
      </c>
      <c r="T79" s="34" t="str">
        <f>IFERROR(__xludf.DUMMYFUNCTION("IF(query(Data!A:M,CONCATENATE(""select Col13 where Col1 = '"",C79,""' and Col8 = 'Childrens Rights'""),0)&gt;70,1,0)"),"#REF!")</f>
        <v>#REF!</v>
      </c>
      <c r="U79" s="34" t="str">
        <f>IFERROR(__xludf.DUMMYFUNCTION("IF(query(Data!A:M,CONCATENATE(""select Col13 where Col1 = '"",C79,""' and Col8 = 'Cultural and Linguistic Diversity'""),0)&gt;70,1,0)"),"#REF!")</f>
        <v>#REF!</v>
      </c>
      <c r="V79" s="34" t="str">
        <f>IFERROR(__xludf.DUMMYFUNCTION("IF(query(Data!A:M,CONCATENATE(""select Col13 where Col1 = '"",C79,""' and Col8 = 'Data Protection and Privacy'""),0)&gt;70,1,0)"),"#REF!")</f>
        <v>#REF!</v>
      </c>
      <c r="W79" s="34" t="str">
        <f>IFERROR(__xludf.DUMMYFUNCTION("IF(query(Data!A:M,CONCATENATE(""select Col13 where Col1 = '"",C79,""' and Col8 = 'Gender Equality'""),0)&gt;70,1,0)"),"#REF!")</f>
        <v>#REF!</v>
      </c>
      <c r="X79" s="34" t="str">
        <f>IFERROR(__xludf.DUMMYFUNCTION("IF(query(Data!A:M,CONCATENATE(""select Col13 where Col1 = '"",C79,""' and Col8 = 'Human Oversight and Determination'""),0)&gt;70,1,0)"),"#REF!")</f>
        <v>#REF!</v>
      </c>
      <c r="Y79" s="34" t="str">
        <f>IFERROR(__xludf.DUMMYFUNCTION("IF(query(Data!A:M,CONCATENATE(""select Col13 where Col1 = '"",C79,""' and Col8 = 'Labour Protection and Right to Work'""),0)&gt;70,1,0)"),"#REF!")</f>
        <v>#REF!</v>
      </c>
      <c r="Z79" s="34" t="str">
        <f>IFERROR(__xludf.DUMMYFUNCTION("IF(query(Data!A:M,CONCATENATE(""select Col13 where Col1 = '"",C79,""' and Col8 = 'Safety, Accuracy and Reliability'""),0)&gt;70,1,0)"),"#REF!")</f>
        <v>#REF!</v>
      </c>
      <c r="AA79" s="34" t="str">
        <f>IFERROR(__xludf.DUMMYFUNCTION("IF(query(Data!A:M,CONCATENATE(""select Col13 where Col1 = '"",C79,""' and Col8 = 'Transparency and Explainability'""),0)&gt;70,1,0)"),"#REF!")</f>
        <v>#REF!</v>
      </c>
      <c r="AB79" s="35">
        <f t="shared" si="2"/>
        <v>0</v>
      </c>
      <c r="AC79" s="35">
        <f t="shared" si="3"/>
        <v>0</v>
      </c>
      <c r="AD79" s="35">
        <f t="shared" si="4"/>
        <v>0</v>
      </c>
      <c r="AE79" s="35">
        <f t="shared" si="5"/>
        <v>0</v>
      </c>
      <c r="AF79" s="35">
        <f t="shared" si="6"/>
        <v>0</v>
      </c>
      <c r="AG79" s="35" t="str">
        <f t="shared" si="7"/>
        <v>No</v>
      </c>
      <c r="AH79" s="35" t="str">
        <f>IFERROR(__xludf.DUMMYFUNCTION("IFERROR(query(query(Data!A:BS,CONCATENATE(""select Col50, count(Col49) where Col1 = '"",C79,""' group by Col50"")), CONCATENATE(""select Col1 where Col2 = "",query(query(query(Data!A:BS,CONCATENATE(""select Col50, count(Col49) where Col1 = '"",C79,""' and"&amp;" Col50 &lt;&gt; 'Other' and Col50 is not null group by Col50"")),""select max(Col2)"",0),""Select *"",0),"" limit 1""),0))"),"")</f>
        <v/>
      </c>
      <c r="AI79" s="35" t="str">
        <f t="shared" si="8"/>
        <v/>
      </c>
      <c r="AJ79" s="35" t="str">
        <f t="shared" si="9"/>
        <v>No</v>
      </c>
      <c r="AK79" s="35" t="str">
        <f>IFERROR(__xludf.DUMMYFUNCTION("IFERROR(query(query(Data!A:BS,CONCATENATE(""select Col70, count(Col69) where Col1 = '"",C79,""' group by Col70"")), CONCATENATE(""select Col1 where Col2 = "",query(query(query(Data!A:BS,CONCATENATE(""select Col70, count(Col69) where Col1 = '"",C79,""' and"&amp;" Col70 &lt;&gt; 'Other' and Col70 is not null group by Col70"")),""select max(Col2)"",0),""Select *"",0),"" limit 1""),0))"),"")</f>
        <v/>
      </c>
      <c r="AL79" s="35" t="str">
        <f t="shared" si="10"/>
        <v/>
      </c>
      <c r="AM79" s="35"/>
      <c r="AN79" s="35"/>
      <c r="AO79" s="35"/>
      <c r="AP79" s="35"/>
      <c r="AQ79" s="35"/>
      <c r="AR79" s="35"/>
      <c r="AS79" s="35"/>
      <c r="AT79" s="35"/>
      <c r="AU79" s="35"/>
      <c r="AV79" s="35"/>
    </row>
    <row r="80">
      <c r="A80" s="25">
        <v>29.0</v>
      </c>
      <c r="B80" s="26" t="s">
        <v>271</v>
      </c>
      <c r="C80" s="27" t="s">
        <v>272</v>
      </c>
      <c r="D80" s="28" t="s">
        <v>273</v>
      </c>
      <c r="E80" s="28" t="s">
        <v>52</v>
      </c>
      <c r="F80" s="28" t="s">
        <v>52</v>
      </c>
      <c r="G80" s="28" t="s">
        <v>186</v>
      </c>
      <c r="H80" s="29">
        <v>35.775550013759684</v>
      </c>
      <c r="I80" s="30">
        <v>42.173534895244394</v>
      </c>
      <c r="J80" s="30">
        <v>29.022467332137264</v>
      </c>
      <c r="K80" s="30">
        <v>36.48574561403509</v>
      </c>
      <c r="L80" s="31">
        <v>35.41014285714285</v>
      </c>
      <c r="M80" s="31">
        <v>39.2</v>
      </c>
      <c r="N80" s="31">
        <v>26.354000000000003</v>
      </c>
      <c r="O80" s="32" t="s">
        <v>59</v>
      </c>
      <c r="P80" s="32" t="s">
        <v>54</v>
      </c>
      <c r="Q80" s="32" t="s">
        <v>59</v>
      </c>
      <c r="R80" s="33" t="str">
        <f t="shared" si="1"/>
        <v>gob</v>
      </c>
      <c r="S80" s="34" t="str">
        <f>IFERROR(__xludf.DUMMYFUNCTION("IF(query(Data!A:M,CONCATENATE(""select Col13 where Col1 = '"",C80,""' and Col8 = 'Bias and Unfair Discrimination'""),0)&gt;70,1,0)"),"#REF!")</f>
        <v>#REF!</v>
      </c>
      <c r="T80" s="34" t="str">
        <f>IFERROR(__xludf.DUMMYFUNCTION("IF(query(Data!A:M,CONCATENATE(""select Col13 where Col1 = '"",C80,""' and Col8 = 'Childrens Rights'""),0)&gt;70,1,0)"),"#REF!")</f>
        <v>#REF!</v>
      </c>
      <c r="U80" s="34" t="str">
        <f>IFERROR(__xludf.DUMMYFUNCTION("IF(query(Data!A:M,CONCATENATE(""select Col13 where Col1 = '"",C80,""' and Col8 = 'Cultural and Linguistic Diversity'""),0)&gt;70,1,0)"),"#REF!")</f>
        <v>#REF!</v>
      </c>
      <c r="V80" s="34" t="str">
        <f>IFERROR(__xludf.DUMMYFUNCTION("IF(query(Data!A:M,CONCATENATE(""select Col13 where Col1 = '"",C80,""' and Col8 = 'Data Protection and Privacy'""),0)&gt;70,1,0)"),"#REF!")</f>
        <v>#REF!</v>
      </c>
      <c r="W80" s="34" t="str">
        <f>IFERROR(__xludf.DUMMYFUNCTION("IF(query(Data!A:M,CONCATENATE(""select Col13 where Col1 = '"",C80,""' and Col8 = 'Gender Equality'""),0)&gt;70,1,0)"),"#REF!")</f>
        <v>#REF!</v>
      </c>
      <c r="X80" s="34" t="str">
        <f>IFERROR(__xludf.DUMMYFUNCTION("IF(query(Data!A:M,CONCATENATE(""select Col13 where Col1 = '"",C80,""' and Col8 = 'Human Oversight and Determination'""),0)&gt;70,1,0)"),"#REF!")</f>
        <v>#REF!</v>
      </c>
      <c r="Y80" s="34" t="str">
        <f>IFERROR(__xludf.DUMMYFUNCTION("IF(query(Data!A:M,CONCATENATE(""select Col13 where Col1 = '"",C80,""' and Col8 = 'Labour Protection and Right to Work'""),0)&gt;70,1,0)"),"#REF!")</f>
        <v>#REF!</v>
      </c>
      <c r="Z80" s="34" t="str">
        <f>IFERROR(__xludf.DUMMYFUNCTION("IF(query(Data!A:M,CONCATENATE(""select Col13 where Col1 = '"",C80,""' and Col8 = 'Safety, Accuracy and Reliability'""),0)&gt;70,1,0)"),"#REF!")</f>
        <v>#REF!</v>
      </c>
      <c r="AA80" s="34" t="str">
        <f>IFERROR(__xludf.DUMMYFUNCTION("IF(query(Data!A:M,CONCATENATE(""select Col13 where Col1 = '"",C80,""' and Col8 = 'Transparency and Explainability'""),0)&gt;70,1,0)"),"#REF!")</f>
        <v>#REF!</v>
      </c>
      <c r="AB80" s="35">
        <f t="shared" si="2"/>
        <v>0</v>
      </c>
      <c r="AC80" s="35">
        <f t="shared" si="3"/>
        <v>0</v>
      </c>
      <c r="AD80" s="35">
        <f t="shared" si="4"/>
        <v>0</v>
      </c>
      <c r="AE80" s="35">
        <f t="shared" si="5"/>
        <v>0</v>
      </c>
      <c r="AF80" s="35">
        <f t="shared" si="6"/>
        <v>0</v>
      </c>
      <c r="AG80" s="35" t="str">
        <f t="shared" si="7"/>
        <v>No</v>
      </c>
      <c r="AH80" s="35" t="str">
        <f>IFERROR(__xludf.DUMMYFUNCTION("IFERROR(query(query(Data!A:BS,CONCATENATE(""select Col50, count(Col49) where Col1 = '"",C80,""' group by Col50"")), CONCATENATE(""select Col1 where Col2 = "",query(query(query(Data!A:BS,CONCATENATE(""select Col50, count(Col49) where Col1 = '"",C80,""' and"&amp;" Col50 &lt;&gt; 'Other' and Col50 is not null group by Col50"")),""select max(Col2)"",0),""Select *"",0),"" limit 1""),0))"),"")</f>
        <v/>
      </c>
      <c r="AI80" s="35" t="str">
        <f t="shared" si="8"/>
        <v/>
      </c>
      <c r="AJ80" s="35" t="str">
        <f t="shared" si="9"/>
        <v>No</v>
      </c>
      <c r="AK80" s="35" t="str">
        <f>IFERROR(__xludf.DUMMYFUNCTION("IFERROR(query(query(Data!A:BS,CONCATENATE(""select Col70, count(Col69) where Col1 = '"",C80,""' group by Col70"")), CONCATENATE(""select Col1 where Col2 = "",query(query(query(Data!A:BS,CONCATENATE(""select Col70, count(Col69) where Col1 = '"",C80,""' and"&amp;" Col70 &lt;&gt; 'Other' and Col70 is not null group by Col70"")),""select max(Col2)"",0),""Select *"",0),"" limit 1""),0))"),"")</f>
        <v/>
      </c>
      <c r="AL80" s="35" t="str">
        <f t="shared" si="10"/>
        <v/>
      </c>
      <c r="AM80" s="35"/>
      <c r="AN80" s="35"/>
      <c r="AO80" s="35"/>
      <c r="AP80" s="35"/>
      <c r="AQ80" s="35"/>
      <c r="AR80" s="35"/>
      <c r="AS80" s="35"/>
      <c r="AT80" s="35"/>
      <c r="AU80" s="35"/>
      <c r="AV80" s="35"/>
    </row>
    <row r="81">
      <c r="A81" s="25">
        <v>58.0</v>
      </c>
      <c r="B81" s="26" t="s">
        <v>274</v>
      </c>
      <c r="C81" s="27" t="s">
        <v>275</v>
      </c>
      <c r="D81" s="28" t="s">
        <v>276</v>
      </c>
      <c r="E81" s="28" t="s">
        <v>52</v>
      </c>
      <c r="F81" s="28" t="s">
        <v>52</v>
      </c>
      <c r="G81" s="28" t="s">
        <v>53</v>
      </c>
      <c r="H81" s="29">
        <v>18.140847360042105</v>
      </c>
      <c r="I81" s="30">
        <v>12.686196653466476</v>
      </c>
      <c r="J81" s="30">
        <v>14.847939290498433</v>
      </c>
      <c r="K81" s="30">
        <v>35.6359649122807</v>
      </c>
      <c r="L81" s="31">
        <v>22.467857142857145</v>
      </c>
      <c r="M81" s="31">
        <v>16.10677777777778</v>
      </c>
      <c r="N81" s="31">
        <v>14.146999999999998</v>
      </c>
      <c r="O81" s="32" t="s">
        <v>54</v>
      </c>
      <c r="P81" s="32" t="s">
        <v>54</v>
      </c>
      <c r="Q81" s="32" t="s">
        <v>54</v>
      </c>
      <c r="R81" s="33" t="str">
        <f t="shared" si="1"/>
        <v>ddhh</v>
      </c>
      <c r="S81" s="34" t="str">
        <f>IFERROR(__xludf.DUMMYFUNCTION("IF(query(Data!A:M,CONCATENATE(""select Col13 where Col1 = '"",C81,""' and Col8 = 'Bias and Unfair Discrimination'""),0)&gt;70,1,0)"),"#REF!")</f>
        <v>#REF!</v>
      </c>
      <c r="T81" s="34" t="str">
        <f>IFERROR(__xludf.DUMMYFUNCTION("IF(query(Data!A:M,CONCATENATE(""select Col13 where Col1 = '"",C81,""' and Col8 = 'Childrens Rights'""),0)&gt;70,1,0)"),"#REF!")</f>
        <v>#REF!</v>
      </c>
      <c r="U81" s="34" t="str">
        <f>IFERROR(__xludf.DUMMYFUNCTION("IF(query(Data!A:M,CONCATENATE(""select Col13 where Col1 = '"",C81,""' and Col8 = 'Cultural and Linguistic Diversity'""),0)&gt;70,1,0)"),"#REF!")</f>
        <v>#REF!</v>
      </c>
      <c r="V81" s="34" t="str">
        <f>IFERROR(__xludf.DUMMYFUNCTION("IF(query(Data!A:M,CONCATENATE(""select Col13 where Col1 = '"",C81,""' and Col8 = 'Data Protection and Privacy'""),0)&gt;70,1,0)"),"#REF!")</f>
        <v>#REF!</v>
      </c>
      <c r="W81" s="34" t="str">
        <f>IFERROR(__xludf.DUMMYFUNCTION("IF(query(Data!A:M,CONCATENATE(""select Col13 where Col1 = '"",C81,""' and Col8 = 'Gender Equality'""),0)&gt;70,1,0)"),"#REF!")</f>
        <v>#REF!</v>
      </c>
      <c r="X81" s="34" t="str">
        <f>IFERROR(__xludf.DUMMYFUNCTION("IF(query(Data!A:M,CONCATENATE(""select Col13 where Col1 = '"",C81,""' and Col8 = 'Human Oversight and Determination'""),0)&gt;70,1,0)"),"#REF!")</f>
        <v>#REF!</v>
      </c>
      <c r="Y81" s="34" t="str">
        <f>IFERROR(__xludf.DUMMYFUNCTION("IF(query(Data!A:M,CONCATENATE(""select Col13 where Col1 = '"",C81,""' and Col8 = 'Labour Protection and Right to Work'""),0)&gt;70,1,0)"),"#REF!")</f>
        <v>#REF!</v>
      </c>
      <c r="Z81" s="34" t="str">
        <f>IFERROR(__xludf.DUMMYFUNCTION("IF(query(Data!A:M,CONCATENATE(""select Col13 where Col1 = '"",C81,""' and Col8 = 'Safety, Accuracy and Reliability'""),0)&gt;70,1,0)"),"#REF!")</f>
        <v>#REF!</v>
      </c>
      <c r="AA81" s="34" t="str">
        <f>IFERROR(__xludf.DUMMYFUNCTION("IF(query(Data!A:M,CONCATENATE(""select Col13 where Col1 = '"",C81,""' and Col8 = 'Transparency and Explainability'""),0)&gt;70,1,0)"),"#REF!")</f>
        <v>#REF!</v>
      </c>
      <c r="AB81" s="35">
        <f t="shared" si="2"/>
        <v>0</v>
      </c>
      <c r="AC81" s="35">
        <f t="shared" si="3"/>
        <v>0</v>
      </c>
      <c r="AD81" s="35">
        <f t="shared" si="4"/>
        <v>0</v>
      </c>
      <c r="AE81" s="35">
        <f t="shared" si="5"/>
        <v>0</v>
      </c>
      <c r="AF81" s="35">
        <f t="shared" si="6"/>
        <v>0</v>
      </c>
      <c r="AG81" s="35" t="str">
        <f t="shared" si="7"/>
        <v>No</v>
      </c>
      <c r="AH81" s="35" t="str">
        <f>IFERROR(__xludf.DUMMYFUNCTION("IFERROR(query(query(Data!A:BS,CONCATENATE(""select Col50, count(Col49) where Col1 = '"",C81,""' group by Col50"")), CONCATENATE(""select Col1 where Col2 = "",query(query(query(Data!A:BS,CONCATENATE(""select Col50, count(Col49) where Col1 = '"",C81,""' and"&amp;" Col50 &lt;&gt; 'Other' and Col50 is not null group by Col50"")),""select max(Col2)"",0),""Select *"",0),"" limit 1""),0))"),"")</f>
        <v/>
      </c>
      <c r="AI81" s="35" t="str">
        <f t="shared" si="8"/>
        <v/>
      </c>
      <c r="AJ81" s="35" t="str">
        <f t="shared" si="9"/>
        <v>No</v>
      </c>
      <c r="AK81" s="35" t="str">
        <f>IFERROR(__xludf.DUMMYFUNCTION("IFERROR(query(query(Data!A:BS,CONCATENATE(""select Col70, count(Col69) where Col1 = '"",C81,""' group by Col70"")), CONCATENATE(""select Col1 where Col2 = "",query(query(query(Data!A:BS,CONCATENATE(""select Col70, count(Col69) where Col1 = '"",C81,""' and"&amp;" Col70 &lt;&gt; 'Other' and Col70 is not null group by Col70"")),""select max(Col2)"",0),""Select *"",0),"" limit 1""),0))"),"")</f>
        <v/>
      </c>
      <c r="AL81" s="35" t="str">
        <f t="shared" si="10"/>
        <v/>
      </c>
      <c r="AM81" s="35"/>
      <c r="AN81" s="35"/>
      <c r="AO81" s="35"/>
      <c r="AP81" s="35"/>
      <c r="AQ81" s="35"/>
      <c r="AR81" s="35"/>
      <c r="AS81" s="35"/>
      <c r="AT81" s="35"/>
      <c r="AU81" s="35"/>
      <c r="AV81" s="35"/>
    </row>
    <row r="82">
      <c r="A82" s="25">
        <v>41.0</v>
      </c>
      <c r="B82" s="26" t="s">
        <v>277</v>
      </c>
      <c r="C82" s="27" t="s">
        <v>278</v>
      </c>
      <c r="D82" s="28" t="s">
        <v>279</v>
      </c>
      <c r="E82" s="28" t="s">
        <v>46</v>
      </c>
      <c r="F82" s="28" t="s">
        <v>47</v>
      </c>
      <c r="G82" s="28" t="s">
        <v>132</v>
      </c>
      <c r="H82" s="29">
        <v>28.45547841389974</v>
      </c>
      <c r="I82" s="30">
        <v>38.26133714642441</v>
      </c>
      <c r="J82" s="30">
        <v>23.00893783569336</v>
      </c>
      <c r="K82" s="30">
        <v>19.736842105263154</v>
      </c>
      <c r="L82" s="31">
        <v>20.050428571428572</v>
      </c>
      <c r="M82" s="31">
        <v>27.837333333333333</v>
      </c>
      <c r="N82" s="31">
        <v>49.921</v>
      </c>
      <c r="O82" s="32" t="s">
        <v>54</v>
      </c>
      <c r="P82" s="32" t="s">
        <v>54</v>
      </c>
      <c r="Q82" s="32" t="s">
        <v>54</v>
      </c>
      <c r="R82" s="33" t="str">
        <f t="shared" si="1"/>
        <v>cap</v>
      </c>
      <c r="S82" s="34" t="str">
        <f>IFERROR(__xludf.DUMMYFUNCTION("IF(query(Data!A:M,CONCATENATE(""select Col13 where Col1 = '"",C82,""' and Col8 = 'Bias and Unfair Discrimination'""),0)&gt;70,1,0)"),"#REF!")</f>
        <v>#REF!</v>
      </c>
      <c r="T82" s="34" t="str">
        <f>IFERROR(__xludf.DUMMYFUNCTION("IF(query(Data!A:M,CONCATENATE(""select Col13 where Col1 = '"",C82,""' and Col8 = 'Childrens Rights'""),0)&gt;70,1,0)"),"#REF!")</f>
        <v>#REF!</v>
      </c>
      <c r="U82" s="34" t="str">
        <f>IFERROR(__xludf.DUMMYFUNCTION("IF(query(Data!A:M,CONCATENATE(""select Col13 where Col1 = '"",C82,""' and Col8 = 'Cultural and Linguistic Diversity'""),0)&gt;70,1,0)"),"#REF!")</f>
        <v>#REF!</v>
      </c>
      <c r="V82" s="34" t="str">
        <f>IFERROR(__xludf.DUMMYFUNCTION("IF(query(Data!A:M,CONCATENATE(""select Col13 where Col1 = '"",C82,""' and Col8 = 'Data Protection and Privacy'""),0)&gt;70,1,0)"),"#REF!")</f>
        <v>#REF!</v>
      </c>
      <c r="W82" s="34" t="str">
        <f>IFERROR(__xludf.DUMMYFUNCTION("IF(query(Data!A:M,CONCATENATE(""select Col13 where Col1 = '"",C82,""' and Col8 = 'Gender Equality'""),0)&gt;70,1,0)"),"#REF!")</f>
        <v>#REF!</v>
      </c>
      <c r="X82" s="34" t="str">
        <f>IFERROR(__xludf.DUMMYFUNCTION("IF(query(Data!A:M,CONCATENATE(""select Col13 where Col1 = '"",C82,""' and Col8 = 'Human Oversight and Determination'""),0)&gt;70,1,0)"),"#REF!")</f>
        <v>#REF!</v>
      </c>
      <c r="Y82" s="34" t="str">
        <f>IFERROR(__xludf.DUMMYFUNCTION("IF(query(Data!A:M,CONCATENATE(""select Col13 where Col1 = '"",C82,""' and Col8 = 'Labour Protection and Right to Work'""),0)&gt;70,1,0)"),"#REF!")</f>
        <v>#REF!</v>
      </c>
      <c r="Z82" s="34" t="str">
        <f>IFERROR(__xludf.DUMMYFUNCTION("IF(query(Data!A:M,CONCATENATE(""select Col13 where Col1 = '"",C82,""' and Col8 = 'Safety, Accuracy and Reliability'""),0)&gt;70,1,0)"),"#REF!")</f>
        <v>#REF!</v>
      </c>
      <c r="AA82" s="34" t="str">
        <f>IFERROR(__xludf.DUMMYFUNCTION("IF(query(Data!A:M,CONCATENATE(""select Col13 where Col1 = '"",C82,""' and Col8 = 'Transparency and Explainability'""),0)&gt;70,1,0)"),"#REF!")</f>
        <v>#REF!</v>
      </c>
      <c r="AB82" s="35">
        <f t="shared" si="2"/>
        <v>0</v>
      </c>
      <c r="AC82" s="35">
        <f t="shared" si="3"/>
        <v>0</v>
      </c>
      <c r="AD82" s="35">
        <f t="shared" si="4"/>
        <v>0</v>
      </c>
      <c r="AE82" s="35">
        <f t="shared" si="5"/>
        <v>0</v>
      </c>
      <c r="AF82" s="35">
        <f t="shared" si="6"/>
        <v>0</v>
      </c>
      <c r="AG82" s="35" t="str">
        <f t="shared" si="7"/>
        <v>No</v>
      </c>
      <c r="AH82" s="35" t="str">
        <f>IFERROR(__xludf.DUMMYFUNCTION("IFERROR(query(query(Data!A:BS,CONCATENATE(""select Col50, count(Col49) where Col1 = '"",C82,""' group by Col50"")), CONCATENATE(""select Col1 where Col2 = "",query(query(query(Data!A:BS,CONCATENATE(""select Col50, count(Col49) where Col1 = '"",C82,""' and"&amp;" Col50 &lt;&gt; 'Other' and Col50 is not null group by Col50"")),""select max(Col2)"",0),""Select *"",0),"" limit 1""),0))"),"")</f>
        <v/>
      </c>
      <c r="AI82" s="35" t="str">
        <f t="shared" si="8"/>
        <v/>
      </c>
      <c r="AJ82" s="35" t="str">
        <f t="shared" si="9"/>
        <v>No</v>
      </c>
      <c r="AK82" s="35" t="str">
        <f>IFERROR(__xludf.DUMMYFUNCTION("IFERROR(query(query(Data!A:BS,CONCATENATE(""select Col70, count(Col69) where Col1 = '"",C82,""' group by Col70"")), CONCATENATE(""select Col1 where Col2 = "",query(query(query(Data!A:BS,CONCATENATE(""select Col70, count(Col69) where Col1 = '"",C82,""' and"&amp;" Col70 &lt;&gt; 'Other' and Col70 is not null group by Col70"")),""select max(Col2)"",0),""Select *"",0),"" limit 1""),0))"),"")</f>
        <v/>
      </c>
      <c r="AL82" s="35" t="str">
        <f t="shared" si="10"/>
        <v/>
      </c>
      <c r="AM82" s="35"/>
      <c r="AN82" s="35"/>
      <c r="AO82" s="35"/>
      <c r="AP82" s="35"/>
      <c r="AQ82" s="35"/>
      <c r="AR82" s="35"/>
      <c r="AS82" s="35"/>
      <c r="AT82" s="35"/>
      <c r="AU82" s="35"/>
      <c r="AV82" s="35"/>
    </row>
    <row r="83">
      <c r="A83" s="25">
        <v>119.0</v>
      </c>
      <c r="B83" s="26" t="s">
        <v>280</v>
      </c>
      <c r="C83" s="27" t="s">
        <v>281</v>
      </c>
      <c r="D83" s="28" t="s">
        <v>282</v>
      </c>
      <c r="E83" s="28" t="s">
        <v>74</v>
      </c>
      <c r="F83" s="28" t="s">
        <v>74</v>
      </c>
      <c r="G83" s="28" t="s">
        <v>106</v>
      </c>
      <c r="H83" s="29">
        <v>1.4003434249811004</v>
      </c>
      <c r="I83" s="30">
        <v>0.0</v>
      </c>
      <c r="J83" s="30">
        <v>2.0891261063124005</v>
      </c>
      <c r="K83" s="30">
        <v>2.8234649122807016</v>
      </c>
      <c r="L83" s="31">
        <v>0.7664285714285715</v>
      </c>
      <c r="M83" s="31">
        <v>0.0</v>
      </c>
      <c r="N83" s="31">
        <v>7.080666666666667</v>
      </c>
      <c r="O83" s="32" t="s">
        <v>76</v>
      </c>
      <c r="P83" s="32" t="s">
        <v>76</v>
      </c>
      <c r="Q83" s="32" t="s">
        <v>54</v>
      </c>
      <c r="R83" s="33" t="str">
        <f t="shared" si="1"/>
        <v>cap</v>
      </c>
      <c r="S83" s="34" t="str">
        <f>IFERROR(__xludf.DUMMYFUNCTION("IF(query(Data!A:M,CONCATENATE(""select Col13 where Col1 = '"",C83,""' and Col8 = 'Bias and Unfair Discrimination'""),0)&gt;70,1,0)"),"#REF!")</f>
        <v>#REF!</v>
      </c>
      <c r="T83" s="34" t="str">
        <f>IFERROR(__xludf.DUMMYFUNCTION("IF(query(Data!A:M,CONCATENATE(""select Col13 where Col1 = '"",C83,""' and Col8 = 'Childrens Rights'""),0)&gt;70,1,0)"),"#REF!")</f>
        <v>#REF!</v>
      </c>
      <c r="U83" s="34" t="str">
        <f>IFERROR(__xludf.DUMMYFUNCTION("IF(query(Data!A:M,CONCATENATE(""select Col13 where Col1 = '"",C83,""' and Col8 = 'Cultural and Linguistic Diversity'""),0)&gt;70,1,0)"),"#REF!")</f>
        <v>#REF!</v>
      </c>
      <c r="V83" s="34" t="str">
        <f>IFERROR(__xludf.DUMMYFUNCTION("IF(query(Data!A:M,CONCATENATE(""select Col13 where Col1 = '"",C83,""' and Col8 = 'Data Protection and Privacy'""),0)&gt;70,1,0)"),"#REF!")</f>
        <v>#REF!</v>
      </c>
      <c r="W83" s="34" t="str">
        <f>IFERROR(__xludf.DUMMYFUNCTION("IF(query(Data!A:M,CONCATENATE(""select Col13 where Col1 = '"",C83,""' and Col8 = 'Gender Equality'""),0)&gt;70,1,0)"),"#REF!")</f>
        <v>#REF!</v>
      </c>
      <c r="X83" s="34" t="str">
        <f>IFERROR(__xludf.DUMMYFUNCTION("IF(query(Data!A:M,CONCATENATE(""select Col13 where Col1 = '"",C83,""' and Col8 = 'Human Oversight and Determination'""),0)&gt;70,1,0)"),"#REF!")</f>
        <v>#REF!</v>
      </c>
      <c r="Y83" s="34" t="str">
        <f>IFERROR(__xludf.DUMMYFUNCTION("IF(query(Data!A:M,CONCATENATE(""select Col13 where Col1 = '"",C83,""' and Col8 = 'Labour Protection and Right to Work'""),0)&gt;70,1,0)"),"#REF!")</f>
        <v>#REF!</v>
      </c>
      <c r="Z83" s="34" t="str">
        <f>IFERROR(__xludf.DUMMYFUNCTION("IF(query(Data!A:M,CONCATENATE(""select Col13 where Col1 = '"",C83,""' and Col8 = 'Safety, Accuracy and Reliability'""),0)&gt;70,1,0)"),"#REF!")</f>
        <v>#REF!</v>
      </c>
      <c r="AA83" s="34" t="str">
        <f>IFERROR(__xludf.DUMMYFUNCTION("IF(query(Data!A:M,CONCATENATE(""select Col13 where Col1 = '"",C83,""' and Col8 = 'Transparency and Explainability'""),0)&gt;70,1,0)"),"#REF!")</f>
        <v>#REF!</v>
      </c>
      <c r="AB83" s="35">
        <f t="shared" si="2"/>
        <v>0</v>
      </c>
      <c r="AC83" s="35">
        <f t="shared" si="3"/>
        <v>0</v>
      </c>
      <c r="AD83" s="35">
        <f t="shared" si="4"/>
        <v>0</v>
      </c>
      <c r="AE83" s="35">
        <f t="shared" si="5"/>
        <v>0</v>
      </c>
      <c r="AF83" s="35">
        <f t="shared" si="6"/>
        <v>0</v>
      </c>
      <c r="AG83" s="35" t="str">
        <f t="shared" si="7"/>
        <v>No</v>
      </c>
      <c r="AH83" s="35" t="str">
        <f>IFERROR(__xludf.DUMMYFUNCTION("IFERROR(query(query(Data!A:BS,CONCATENATE(""select Col50, count(Col49) where Col1 = '"",C83,""' group by Col50"")), CONCATENATE(""select Col1 where Col2 = "",query(query(query(Data!A:BS,CONCATENATE(""select Col50, count(Col49) where Col1 = '"",C83,""' and"&amp;" Col50 &lt;&gt; 'Other' and Col50 is not null group by Col50"")),""select max(Col2)"",0),""Select *"",0),"" limit 1""),0))"),"")</f>
        <v/>
      </c>
      <c r="AI83" s="35" t="str">
        <f t="shared" si="8"/>
        <v/>
      </c>
      <c r="AJ83" s="35" t="str">
        <f t="shared" si="9"/>
        <v>No</v>
      </c>
      <c r="AK83" s="35" t="str">
        <f>IFERROR(__xludf.DUMMYFUNCTION("IFERROR(query(query(Data!A:BS,CONCATENATE(""select Col70, count(Col69) where Col1 = '"",C83,""' group by Col70"")), CONCATENATE(""select Col1 where Col2 = "",query(query(query(Data!A:BS,CONCATENATE(""select Col70, count(Col69) where Col1 = '"",C83,""' and"&amp;" Col70 &lt;&gt; 'Other' and Col70 is not null group by Col70"")),""select max(Col2)"",0),""Select *"",0),"" limit 1""),0))"),"")</f>
        <v/>
      </c>
      <c r="AL83" s="35" t="str">
        <f t="shared" si="10"/>
        <v/>
      </c>
      <c r="AM83" s="35"/>
      <c r="AN83" s="35"/>
      <c r="AO83" s="35"/>
      <c r="AP83" s="35"/>
      <c r="AQ83" s="35"/>
      <c r="AR83" s="35"/>
      <c r="AS83" s="35"/>
      <c r="AT83" s="35"/>
      <c r="AU83" s="35"/>
      <c r="AV83" s="35"/>
    </row>
    <row r="84">
      <c r="A84" s="25">
        <v>131.0</v>
      </c>
      <c r="B84" s="26" t="s">
        <v>283</v>
      </c>
      <c r="C84" s="27" t="s">
        <v>284</v>
      </c>
      <c r="D84" s="28" t="s">
        <v>285</v>
      </c>
      <c r="E84" s="28" t="s">
        <v>74</v>
      </c>
      <c r="F84" s="28" t="s">
        <v>74</v>
      </c>
      <c r="G84" s="28" t="s">
        <v>106</v>
      </c>
      <c r="H84" s="29">
        <v>0.7049404229615863</v>
      </c>
      <c r="I84" s="30">
        <v>0.0</v>
      </c>
      <c r="J84" s="30">
        <v>1.7623510574039658</v>
      </c>
      <c r="K84" s="30">
        <v>0.0</v>
      </c>
      <c r="L84" s="31">
        <v>0.0</v>
      </c>
      <c r="M84" s="31">
        <v>0.0</v>
      </c>
      <c r="N84" s="31">
        <v>4.464666666666667</v>
      </c>
      <c r="O84" s="32" t="s">
        <v>76</v>
      </c>
      <c r="P84" s="32" t="s">
        <v>49</v>
      </c>
      <c r="Q84" s="32" t="s">
        <v>80</v>
      </c>
      <c r="R84" s="33" t="str">
        <f t="shared" si="1"/>
        <v>cap</v>
      </c>
      <c r="S84" s="34" t="str">
        <f>IFERROR(__xludf.DUMMYFUNCTION("IF(query(Data!A:M,CONCATENATE(""select Col13 where Col1 = '"",C84,""' and Col8 = 'Bias and Unfair Discrimination'""),0)&gt;70,1,0)"),"#REF!")</f>
        <v>#REF!</v>
      </c>
      <c r="T84" s="34" t="str">
        <f>IFERROR(__xludf.DUMMYFUNCTION("IF(query(Data!A:M,CONCATENATE(""select Col13 where Col1 = '"",C84,""' and Col8 = 'Childrens Rights'""),0)&gt;70,1,0)"),"#REF!")</f>
        <v>#REF!</v>
      </c>
      <c r="U84" s="34" t="str">
        <f>IFERROR(__xludf.DUMMYFUNCTION("IF(query(Data!A:M,CONCATENATE(""select Col13 where Col1 = '"",C84,""' and Col8 = 'Cultural and Linguistic Diversity'""),0)&gt;70,1,0)"),"#REF!")</f>
        <v>#REF!</v>
      </c>
      <c r="V84" s="34" t="str">
        <f>IFERROR(__xludf.DUMMYFUNCTION("IF(query(Data!A:M,CONCATENATE(""select Col13 where Col1 = '"",C84,""' and Col8 = 'Data Protection and Privacy'""),0)&gt;70,1,0)"),"#REF!")</f>
        <v>#REF!</v>
      </c>
      <c r="W84" s="34" t="str">
        <f>IFERROR(__xludf.DUMMYFUNCTION("IF(query(Data!A:M,CONCATENATE(""select Col13 where Col1 = '"",C84,""' and Col8 = 'Gender Equality'""),0)&gt;70,1,0)"),"#REF!")</f>
        <v>#REF!</v>
      </c>
      <c r="X84" s="34" t="str">
        <f>IFERROR(__xludf.DUMMYFUNCTION("IF(query(Data!A:M,CONCATENATE(""select Col13 where Col1 = '"",C84,""' and Col8 = 'Human Oversight and Determination'""),0)&gt;70,1,0)"),"#REF!")</f>
        <v>#REF!</v>
      </c>
      <c r="Y84" s="34" t="str">
        <f>IFERROR(__xludf.DUMMYFUNCTION("IF(query(Data!A:M,CONCATENATE(""select Col13 where Col1 = '"",C84,""' and Col8 = 'Labour Protection and Right to Work'""),0)&gt;70,1,0)"),"#REF!")</f>
        <v>#REF!</v>
      </c>
      <c r="Z84" s="34" t="str">
        <f>IFERROR(__xludf.DUMMYFUNCTION("IF(query(Data!A:M,CONCATENATE(""select Col13 where Col1 = '"",C84,""' and Col8 = 'Safety, Accuracy and Reliability'""),0)&gt;70,1,0)"),"#REF!")</f>
        <v>#REF!</v>
      </c>
      <c r="AA84" s="34" t="str">
        <f>IFERROR(__xludf.DUMMYFUNCTION("IF(query(Data!A:M,CONCATENATE(""select Col13 where Col1 = '"",C84,""' and Col8 = 'Transparency and Explainability'""),0)&gt;70,1,0)"),"#REF!")</f>
        <v>#REF!</v>
      </c>
      <c r="AB84" s="35">
        <f t="shared" si="2"/>
        <v>0</v>
      </c>
      <c r="AC84" s="35">
        <f t="shared" si="3"/>
        <v>0</v>
      </c>
      <c r="AD84" s="35">
        <f t="shared" si="4"/>
        <v>0</v>
      </c>
      <c r="AE84" s="35">
        <f t="shared" si="5"/>
        <v>0</v>
      </c>
      <c r="AF84" s="35">
        <f t="shared" si="6"/>
        <v>0</v>
      </c>
      <c r="AG84" s="35" t="str">
        <f t="shared" si="7"/>
        <v>No</v>
      </c>
      <c r="AH84" s="35" t="str">
        <f>IFERROR(__xludf.DUMMYFUNCTION("IFERROR(query(query(Data!A:BS,CONCATENATE(""select Col50, count(Col49) where Col1 = '"",C84,""' group by Col50"")), CONCATENATE(""select Col1 where Col2 = "",query(query(query(Data!A:BS,CONCATENATE(""select Col50, count(Col49) where Col1 = '"",C84,""' and"&amp;" Col50 &lt;&gt; 'Other' and Col50 is not null group by Col50"")),""select max(Col2)"",0),""Select *"",0),"" limit 1""),0))"),"")</f>
        <v/>
      </c>
      <c r="AI84" s="35" t="str">
        <f t="shared" si="8"/>
        <v/>
      </c>
      <c r="AJ84" s="35" t="str">
        <f t="shared" si="9"/>
        <v>No</v>
      </c>
      <c r="AK84" s="35" t="str">
        <f>IFERROR(__xludf.DUMMYFUNCTION("IFERROR(query(query(Data!A:BS,CONCATENATE(""select Col70, count(Col69) where Col1 = '"",C84,""' group by Col70"")), CONCATENATE(""select Col1 where Col2 = "",query(query(query(Data!A:BS,CONCATENATE(""select Col70, count(Col69) where Col1 = '"",C84,""' and"&amp;" Col70 &lt;&gt; 'Other' and Col70 is not null group by Col70"")),""select max(Col2)"",0),""Select *"",0),"" limit 1""),0))"),"")</f>
        <v/>
      </c>
      <c r="AL84" s="35" t="str">
        <f t="shared" si="10"/>
        <v/>
      </c>
      <c r="AM84" s="35"/>
      <c r="AN84" s="35"/>
      <c r="AO84" s="35"/>
      <c r="AP84" s="35"/>
      <c r="AQ84" s="35"/>
      <c r="AR84" s="35"/>
      <c r="AS84" s="35"/>
      <c r="AT84" s="35"/>
      <c r="AU84" s="35"/>
      <c r="AV84" s="35"/>
    </row>
    <row r="85">
      <c r="A85" s="25">
        <v>51.0</v>
      </c>
      <c r="B85" s="26" t="s">
        <v>286</v>
      </c>
      <c r="C85" s="27" t="s">
        <v>287</v>
      </c>
      <c r="D85" s="28" t="s">
        <v>288</v>
      </c>
      <c r="E85" s="28" t="s">
        <v>74</v>
      </c>
      <c r="F85" s="28" t="s">
        <v>74</v>
      </c>
      <c r="G85" s="28" t="s">
        <v>75</v>
      </c>
      <c r="H85" s="29">
        <v>22.992655535915443</v>
      </c>
      <c r="I85" s="30">
        <v>9.505337589665464</v>
      </c>
      <c r="J85" s="30">
        <v>30.966981074684544</v>
      </c>
      <c r="K85" s="30">
        <v>34.01864035087719</v>
      </c>
      <c r="L85" s="31">
        <v>27.986285714285714</v>
      </c>
      <c r="M85" s="31">
        <v>20.24088888888889</v>
      </c>
      <c r="N85" s="31">
        <v>19.596</v>
      </c>
      <c r="O85" s="32" t="s">
        <v>54</v>
      </c>
      <c r="P85" s="32" t="s">
        <v>80</v>
      </c>
      <c r="Q85" s="32" t="s">
        <v>80</v>
      </c>
      <c r="R85" s="33" t="str">
        <f t="shared" si="1"/>
        <v>ddhh</v>
      </c>
      <c r="S85" s="34" t="str">
        <f>IFERROR(__xludf.DUMMYFUNCTION("IF(query(Data!A:M,CONCATENATE(""select Col13 where Col1 = '"",C85,""' and Col8 = 'Bias and Unfair Discrimination'""),0)&gt;70,1,0)"),"#REF!")</f>
        <v>#REF!</v>
      </c>
      <c r="T85" s="34" t="str">
        <f>IFERROR(__xludf.DUMMYFUNCTION("IF(query(Data!A:M,CONCATENATE(""select Col13 where Col1 = '"",C85,""' and Col8 = 'Childrens Rights'""),0)&gt;70,1,0)"),"#REF!")</f>
        <v>#REF!</v>
      </c>
      <c r="U85" s="34" t="str">
        <f>IFERROR(__xludf.DUMMYFUNCTION("IF(query(Data!A:M,CONCATENATE(""select Col13 where Col1 = '"",C85,""' and Col8 = 'Cultural and Linguistic Diversity'""),0)&gt;70,1,0)"),"#REF!")</f>
        <v>#REF!</v>
      </c>
      <c r="V85" s="34" t="str">
        <f>IFERROR(__xludf.DUMMYFUNCTION("IF(query(Data!A:M,CONCATENATE(""select Col13 where Col1 = '"",C85,""' and Col8 = 'Data Protection and Privacy'""),0)&gt;70,1,0)"),"#REF!")</f>
        <v>#REF!</v>
      </c>
      <c r="W85" s="34" t="str">
        <f>IFERROR(__xludf.DUMMYFUNCTION("IF(query(Data!A:M,CONCATENATE(""select Col13 where Col1 = '"",C85,""' and Col8 = 'Gender Equality'""),0)&gt;70,1,0)"),"#REF!")</f>
        <v>#REF!</v>
      </c>
      <c r="X85" s="34" t="str">
        <f>IFERROR(__xludf.DUMMYFUNCTION("IF(query(Data!A:M,CONCATENATE(""select Col13 where Col1 = '"",C85,""' and Col8 = 'Human Oversight and Determination'""),0)&gt;70,1,0)"),"#REF!")</f>
        <v>#REF!</v>
      </c>
      <c r="Y85" s="34" t="str">
        <f>IFERROR(__xludf.DUMMYFUNCTION("IF(query(Data!A:M,CONCATENATE(""select Col13 where Col1 = '"",C85,""' and Col8 = 'Labour Protection and Right to Work'""),0)&gt;70,1,0)"),"#REF!")</f>
        <v>#REF!</v>
      </c>
      <c r="Z85" s="34" t="str">
        <f>IFERROR(__xludf.DUMMYFUNCTION("IF(query(Data!A:M,CONCATENATE(""select Col13 where Col1 = '"",C85,""' and Col8 = 'Safety, Accuracy and Reliability'""),0)&gt;70,1,0)"),"#REF!")</f>
        <v>#REF!</v>
      </c>
      <c r="AA85" s="34" t="str">
        <f>IFERROR(__xludf.DUMMYFUNCTION("IF(query(Data!A:M,CONCATENATE(""select Col13 where Col1 = '"",C85,""' and Col8 = 'Transparency and Explainability'""),0)&gt;70,1,0)"),"#REF!")</f>
        <v>#REF!</v>
      </c>
      <c r="AB85" s="35">
        <f t="shared" si="2"/>
        <v>0</v>
      </c>
      <c r="AC85" s="35">
        <f t="shared" si="3"/>
        <v>0</v>
      </c>
      <c r="AD85" s="35">
        <f t="shared" si="4"/>
        <v>0</v>
      </c>
      <c r="AE85" s="35">
        <f t="shared" si="5"/>
        <v>0</v>
      </c>
      <c r="AF85" s="35">
        <f t="shared" si="6"/>
        <v>0</v>
      </c>
      <c r="AG85" s="35" t="str">
        <f t="shared" si="7"/>
        <v>No</v>
      </c>
      <c r="AH85" s="35" t="str">
        <f>IFERROR(__xludf.DUMMYFUNCTION("IFERROR(query(query(Data!A:BS,CONCATENATE(""select Col50, count(Col49) where Col1 = '"",C85,""' group by Col50"")), CONCATENATE(""select Col1 where Col2 = "",query(query(query(Data!A:BS,CONCATENATE(""select Col50, count(Col49) where Col1 = '"",C85,""' and"&amp;" Col50 &lt;&gt; 'Other' and Col50 is not null group by Col50"")),""select max(Col2)"",0),""Select *"",0),"" limit 1""),0))"),"")</f>
        <v/>
      </c>
      <c r="AI85" s="35" t="str">
        <f t="shared" si="8"/>
        <v/>
      </c>
      <c r="AJ85" s="35" t="str">
        <f t="shared" si="9"/>
        <v>No</v>
      </c>
      <c r="AK85" s="35" t="str">
        <f>IFERROR(__xludf.DUMMYFUNCTION("IFERROR(query(query(Data!A:BS,CONCATENATE(""select Col70, count(Col69) where Col1 = '"",C85,""' group by Col70"")), CONCATENATE(""select Col1 where Col2 = "",query(query(query(Data!A:BS,CONCATENATE(""select Col70, count(Col69) where Col1 = '"",C85,""' and"&amp;" Col70 &lt;&gt; 'Other' and Col70 is not null group by Col70"")),""select max(Col2)"",0),""Select *"",0),"" limit 1""),0))"),"")</f>
        <v/>
      </c>
      <c r="AL85" s="35" t="str">
        <f t="shared" si="10"/>
        <v/>
      </c>
      <c r="AM85" s="35"/>
      <c r="AN85" s="35"/>
      <c r="AO85" s="35"/>
      <c r="AP85" s="35"/>
      <c r="AQ85" s="35"/>
      <c r="AR85" s="35"/>
      <c r="AS85" s="35"/>
      <c r="AT85" s="35"/>
      <c r="AU85" s="35"/>
      <c r="AV85" s="35"/>
    </row>
    <row r="86">
      <c r="A86" s="25">
        <v>85.0</v>
      </c>
      <c r="B86" s="26" t="s">
        <v>289</v>
      </c>
      <c r="C86" s="27" t="s">
        <v>290</v>
      </c>
      <c r="D86" s="28" t="s">
        <v>291</v>
      </c>
      <c r="E86" s="28" t="s">
        <v>74</v>
      </c>
      <c r="F86" s="28" t="s">
        <v>74</v>
      </c>
      <c r="G86" s="28" t="s">
        <v>106</v>
      </c>
      <c r="H86" s="29">
        <v>6.294004440307617</v>
      </c>
      <c r="I86" s="30">
        <v>7.530618801451565</v>
      </c>
      <c r="J86" s="30">
        <v>7.395730018615723</v>
      </c>
      <c r="K86" s="30">
        <v>1.6173245614035086</v>
      </c>
      <c r="L86" s="31">
        <v>3.2704285714285715</v>
      </c>
      <c r="M86" s="31">
        <v>7.6209999999999996</v>
      </c>
      <c r="N86" s="31">
        <v>9.368</v>
      </c>
      <c r="O86" s="32" t="s">
        <v>59</v>
      </c>
      <c r="P86" s="32" t="s">
        <v>54</v>
      </c>
      <c r="Q86" s="32" t="s">
        <v>59</v>
      </c>
      <c r="R86" s="33" t="str">
        <f t="shared" si="1"/>
        <v>cap</v>
      </c>
      <c r="S86" s="34" t="str">
        <f>IFERROR(__xludf.DUMMYFUNCTION("IF(query(Data!A:M,CONCATENATE(""select Col13 where Col1 = '"",C86,""' and Col8 = 'Bias and Unfair Discrimination'""),0)&gt;70,1,0)"),"#REF!")</f>
        <v>#REF!</v>
      </c>
      <c r="T86" s="34" t="str">
        <f>IFERROR(__xludf.DUMMYFUNCTION("IF(query(Data!A:M,CONCATENATE(""select Col13 where Col1 = '"",C86,""' and Col8 = 'Childrens Rights'""),0)&gt;70,1,0)"),"#REF!")</f>
        <v>#REF!</v>
      </c>
      <c r="U86" s="34" t="str">
        <f>IFERROR(__xludf.DUMMYFUNCTION("IF(query(Data!A:M,CONCATENATE(""select Col13 where Col1 = '"",C86,""' and Col8 = 'Cultural and Linguistic Diversity'""),0)&gt;70,1,0)"),"#REF!")</f>
        <v>#REF!</v>
      </c>
      <c r="V86" s="34" t="str">
        <f>IFERROR(__xludf.DUMMYFUNCTION("IF(query(Data!A:M,CONCATENATE(""select Col13 where Col1 = '"",C86,""' and Col8 = 'Data Protection and Privacy'""),0)&gt;70,1,0)"),"#REF!")</f>
        <v>#REF!</v>
      </c>
      <c r="W86" s="34" t="str">
        <f>IFERROR(__xludf.DUMMYFUNCTION("IF(query(Data!A:M,CONCATENATE(""select Col13 where Col1 = '"",C86,""' and Col8 = 'Gender Equality'""),0)&gt;70,1,0)"),"#REF!")</f>
        <v>#REF!</v>
      </c>
      <c r="X86" s="34" t="str">
        <f>IFERROR(__xludf.DUMMYFUNCTION("IF(query(Data!A:M,CONCATENATE(""select Col13 where Col1 = '"",C86,""' and Col8 = 'Human Oversight and Determination'""),0)&gt;70,1,0)"),"#REF!")</f>
        <v>#REF!</v>
      </c>
      <c r="Y86" s="34" t="str">
        <f>IFERROR(__xludf.DUMMYFUNCTION("IF(query(Data!A:M,CONCATENATE(""select Col13 where Col1 = '"",C86,""' and Col8 = 'Labour Protection and Right to Work'""),0)&gt;70,1,0)"),"#REF!")</f>
        <v>#REF!</v>
      </c>
      <c r="Z86" s="34" t="str">
        <f>IFERROR(__xludf.DUMMYFUNCTION("IF(query(Data!A:M,CONCATENATE(""select Col13 where Col1 = '"",C86,""' and Col8 = 'Safety, Accuracy and Reliability'""),0)&gt;70,1,0)"),"#REF!")</f>
        <v>#REF!</v>
      </c>
      <c r="AA86" s="34" t="str">
        <f>IFERROR(__xludf.DUMMYFUNCTION("IF(query(Data!A:M,CONCATENATE(""select Col13 where Col1 = '"",C86,""' and Col8 = 'Transparency and Explainability'""),0)&gt;70,1,0)"),"#REF!")</f>
        <v>#REF!</v>
      </c>
      <c r="AB86" s="35">
        <f t="shared" si="2"/>
        <v>0</v>
      </c>
      <c r="AC86" s="35">
        <f t="shared" si="3"/>
        <v>0</v>
      </c>
      <c r="AD86" s="35">
        <f t="shared" si="4"/>
        <v>0</v>
      </c>
      <c r="AE86" s="35">
        <f t="shared" si="5"/>
        <v>0</v>
      </c>
      <c r="AF86" s="35">
        <f t="shared" si="6"/>
        <v>0</v>
      </c>
      <c r="AG86" s="35" t="str">
        <f t="shared" si="7"/>
        <v>No</v>
      </c>
      <c r="AH86" s="35" t="str">
        <f>IFERROR(__xludf.DUMMYFUNCTION("IFERROR(query(query(Data!A:BS,CONCATENATE(""select Col50, count(Col49) where Col1 = '"",C86,""' group by Col50"")), CONCATENATE(""select Col1 where Col2 = "",query(query(query(Data!A:BS,CONCATENATE(""select Col50, count(Col49) where Col1 = '"",C86,""' and"&amp;" Col50 &lt;&gt; 'Other' and Col50 is not null group by Col50"")),""select max(Col2)"",0),""Select *"",0),"" limit 1""),0))"),"")</f>
        <v/>
      </c>
      <c r="AI86" s="35" t="str">
        <f t="shared" si="8"/>
        <v/>
      </c>
      <c r="AJ86" s="35" t="str">
        <f t="shared" si="9"/>
        <v>No</v>
      </c>
      <c r="AK86" s="35" t="str">
        <f>IFERROR(__xludf.DUMMYFUNCTION("IFERROR(query(query(Data!A:BS,CONCATENATE(""select Col70, count(Col69) where Col1 = '"",C86,""' group by Col70"")), CONCATENATE(""select Col1 where Col2 = "",query(query(query(Data!A:BS,CONCATENATE(""select Col70, count(Col69) where Col1 = '"",C86,""' and"&amp;" Col70 &lt;&gt; 'Other' and Col70 is not null group by Col70"")),""select max(Col2)"",0),""Select *"",0),"" limit 1""),0))"),"")</f>
        <v/>
      </c>
      <c r="AL86" s="35" t="str">
        <f t="shared" si="10"/>
        <v/>
      </c>
      <c r="AM86" s="35"/>
      <c r="AN86" s="35"/>
      <c r="AO86" s="35"/>
      <c r="AP86" s="35"/>
      <c r="AQ86" s="35"/>
      <c r="AR86" s="35"/>
      <c r="AS86" s="35"/>
      <c r="AT86" s="35"/>
      <c r="AU86" s="35"/>
      <c r="AV86" s="35"/>
    </row>
    <row r="87">
      <c r="A87" s="25">
        <v>64.0</v>
      </c>
      <c r="B87" s="26" t="s">
        <v>292</v>
      </c>
      <c r="C87" s="27" t="s">
        <v>293</v>
      </c>
      <c r="D87" s="28" t="s">
        <v>294</v>
      </c>
      <c r="E87" s="28" t="s">
        <v>139</v>
      </c>
      <c r="F87" s="28" t="s">
        <v>64</v>
      </c>
      <c r="G87" s="28" t="s">
        <v>65</v>
      </c>
      <c r="H87" s="29">
        <v>15.768164524446455</v>
      </c>
      <c r="I87" s="30">
        <v>3.5294604217796994</v>
      </c>
      <c r="J87" s="30">
        <v>22.733056152494328</v>
      </c>
      <c r="K87" s="30">
        <v>26.31578947368421</v>
      </c>
      <c r="L87" s="31">
        <v>21.48071428571429</v>
      </c>
      <c r="M87" s="31">
        <v>9.218555555555556</v>
      </c>
      <c r="N87" s="31">
        <v>22.087</v>
      </c>
      <c r="O87" s="32" t="s">
        <v>80</v>
      </c>
      <c r="P87" s="32" t="s">
        <v>76</v>
      </c>
      <c r="Q87" s="32" t="s">
        <v>54</v>
      </c>
      <c r="R87" s="33" t="str">
        <f t="shared" si="1"/>
        <v>cap</v>
      </c>
      <c r="S87" s="34" t="str">
        <f>IFERROR(__xludf.DUMMYFUNCTION("IF(query(Data!A:M,CONCATENATE(""select Col13 where Col1 = '"",C87,""' and Col8 = 'Bias and Unfair Discrimination'""),0)&gt;70,1,0)"),"#REF!")</f>
        <v>#REF!</v>
      </c>
      <c r="T87" s="34" t="str">
        <f>IFERROR(__xludf.DUMMYFUNCTION("IF(query(Data!A:M,CONCATENATE(""select Col13 where Col1 = '"",C87,""' and Col8 = 'Childrens Rights'""),0)&gt;70,1,0)"),"#REF!")</f>
        <v>#REF!</v>
      </c>
      <c r="U87" s="34" t="str">
        <f>IFERROR(__xludf.DUMMYFUNCTION("IF(query(Data!A:M,CONCATENATE(""select Col13 where Col1 = '"",C87,""' and Col8 = 'Cultural and Linguistic Diversity'""),0)&gt;70,1,0)"),"#REF!")</f>
        <v>#REF!</v>
      </c>
      <c r="V87" s="34" t="str">
        <f>IFERROR(__xludf.DUMMYFUNCTION("IF(query(Data!A:M,CONCATENATE(""select Col13 where Col1 = '"",C87,""' and Col8 = 'Data Protection and Privacy'""),0)&gt;70,1,0)"),"#REF!")</f>
        <v>#REF!</v>
      </c>
      <c r="W87" s="34" t="str">
        <f>IFERROR(__xludf.DUMMYFUNCTION("IF(query(Data!A:M,CONCATENATE(""select Col13 where Col1 = '"",C87,""' and Col8 = 'Gender Equality'""),0)&gt;70,1,0)"),"#REF!")</f>
        <v>#REF!</v>
      </c>
      <c r="X87" s="34" t="str">
        <f>IFERROR(__xludf.DUMMYFUNCTION("IF(query(Data!A:M,CONCATENATE(""select Col13 where Col1 = '"",C87,""' and Col8 = 'Human Oversight and Determination'""),0)&gt;70,1,0)"),"#REF!")</f>
        <v>#REF!</v>
      </c>
      <c r="Y87" s="34" t="str">
        <f>IFERROR(__xludf.DUMMYFUNCTION("IF(query(Data!A:M,CONCATENATE(""select Col13 where Col1 = '"",C87,""' and Col8 = 'Labour Protection and Right to Work'""),0)&gt;70,1,0)"),"#REF!")</f>
        <v>#REF!</v>
      </c>
      <c r="Z87" s="34" t="str">
        <f>IFERROR(__xludf.DUMMYFUNCTION("IF(query(Data!A:M,CONCATENATE(""select Col13 where Col1 = '"",C87,""' and Col8 = 'Safety, Accuracy and Reliability'""),0)&gt;70,1,0)"),"#REF!")</f>
        <v>#REF!</v>
      </c>
      <c r="AA87" s="34" t="str">
        <f>IFERROR(__xludf.DUMMYFUNCTION("IF(query(Data!A:M,CONCATENATE(""select Col13 where Col1 = '"",C87,""' and Col8 = 'Transparency and Explainability'""),0)&gt;70,1,0)"),"#REF!")</f>
        <v>#REF!</v>
      </c>
      <c r="AB87" s="35">
        <f t="shared" si="2"/>
        <v>0</v>
      </c>
      <c r="AC87" s="35">
        <f t="shared" si="3"/>
        <v>0</v>
      </c>
      <c r="AD87" s="35">
        <f t="shared" si="4"/>
        <v>0</v>
      </c>
      <c r="AE87" s="35">
        <f t="shared" si="5"/>
        <v>0</v>
      </c>
      <c r="AF87" s="35">
        <f t="shared" si="6"/>
        <v>0</v>
      </c>
      <c r="AG87" s="35" t="str">
        <f t="shared" si="7"/>
        <v>No</v>
      </c>
      <c r="AH87" s="35" t="str">
        <f>IFERROR(__xludf.DUMMYFUNCTION("IFERROR(query(query(Data!A:BS,CONCATENATE(""select Col50, count(Col49) where Col1 = '"",C87,""' group by Col50"")), CONCATENATE(""select Col1 where Col2 = "",query(query(query(Data!A:BS,CONCATENATE(""select Col50, count(Col49) where Col1 = '"",C87,""' and"&amp;" Col50 &lt;&gt; 'Other' and Col50 is not null group by Col50"")),""select max(Col2)"",0),""Select *"",0),"" limit 1""),0))"),"")</f>
        <v/>
      </c>
      <c r="AI87" s="35" t="str">
        <f t="shared" si="8"/>
        <v/>
      </c>
      <c r="AJ87" s="35" t="str">
        <f t="shared" si="9"/>
        <v>No</v>
      </c>
      <c r="AK87" s="35" t="str">
        <f>IFERROR(__xludf.DUMMYFUNCTION("IFERROR(query(query(Data!A:BS,CONCATENATE(""select Col70, count(Col69) where Col1 = '"",C87,""' group by Col70"")), CONCATENATE(""select Col1 where Col2 = "",query(query(query(Data!A:BS,CONCATENATE(""select Col70, count(Col69) where Col1 = '"",C87,""' and"&amp;" Col70 &lt;&gt; 'Other' and Col70 is not null group by Col70"")),""select max(Col2)"",0),""Select *"",0),"" limit 1""),0))"),"")</f>
        <v/>
      </c>
      <c r="AL87" s="35" t="str">
        <f t="shared" si="10"/>
        <v/>
      </c>
      <c r="AM87" s="35"/>
      <c r="AN87" s="35"/>
      <c r="AO87" s="35"/>
      <c r="AP87" s="35"/>
      <c r="AQ87" s="35"/>
      <c r="AR87" s="35"/>
      <c r="AS87" s="35"/>
      <c r="AT87" s="35"/>
      <c r="AU87" s="35"/>
      <c r="AV87" s="35"/>
    </row>
    <row r="88">
      <c r="A88" s="25">
        <v>76.0</v>
      </c>
      <c r="B88" s="26" t="s">
        <v>295</v>
      </c>
      <c r="C88" s="27" t="s">
        <v>296</v>
      </c>
      <c r="D88" s="28" t="s">
        <v>296</v>
      </c>
      <c r="E88" s="28" t="s">
        <v>46</v>
      </c>
      <c r="F88" s="28" t="s">
        <v>47</v>
      </c>
      <c r="G88" s="28" t="s">
        <v>149</v>
      </c>
      <c r="H88" s="29">
        <v>9.111945590638278</v>
      </c>
      <c r="I88" s="30">
        <v>10.189093204966762</v>
      </c>
      <c r="J88" s="30">
        <v>5.312810245313142</v>
      </c>
      <c r="K88" s="30">
        <v>14.555921052631579</v>
      </c>
      <c r="L88" s="31">
        <v>6.180999999999999</v>
      </c>
      <c r="M88" s="31">
        <v>7.555888888888889</v>
      </c>
      <c r="N88" s="31">
        <v>20.619</v>
      </c>
      <c r="O88" s="32" t="s">
        <v>80</v>
      </c>
      <c r="P88" s="32" t="s">
        <v>80</v>
      </c>
      <c r="Q88" s="32" t="s">
        <v>59</v>
      </c>
      <c r="R88" s="33" t="str">
        <f t="shared" si="1"/>
        <v>cap</v>
      </c>
      <c r="S88" s="34" t="str">
        <f>IFERROR(__xludf.DUMMYFUNCTION("IF(query(Data!A:M,CONCATENATE(""select Col13 where Col1 = '"",C88,""' and Col8 = 'Bias and Unfair Discrimination'""),0)&gt;70,1,0)"),"#REF!")</f>
        <v>#REF!</v>
      </c>
      <c r="T88" s="34" t="str">
        <f>IFERROR(__xludf.DUMMYFUNCTION("IF(query(Data!A:M,CONCATENATE(""select Col13 where Col1 = '"",C88,""' and Col8 = 'Childrens Rights'""),0)&gt;70,1,0)"),"#REF!")</f>
        <v>#REF!</v>
      </c>
      <c r="U88" s="34" t="str">
        <f>IFERROR(__xludf.DUMMYFUNCTION("IF(query(Data!A:M,CONCATENATE(""select Col13 where Col1 = '"",C88,""' and Col8 = 'Cultural and Linguistic Diversity'""),0)&gt;70,1,0)"),"#REF!")</f>
        <v>#REF!</v>
      </c>
      <c r="V88" s="34" t="str">
        <f>IFERROR(__xludf.DUMMYFUNCTION("IF(query(Data!A:M,CONCATENATE(""select Col13 where Col1 = '"",C88,""' and Col8 = 'Data Protection and Privacy'""),0)&gt;70,1,0)"),"#REF!")</f>
        <v>#REF!</v>
      </c>
      <c r="W88" s="34" t="str">
        <f>IFERROR(__xludf.DUMMYFUNCTION("IF(query(Data!A:M,CONCATENATE(""select Col13 where Col1 = '"",C88,""' and Col8 = 'Gender Equality'""),0)&gt;70,1,0)"),"#REF!")</f>
        <v>#REF!</v>
      </c>
      <c r="X88" s="34" t="str">
        <f>IFERROR(__xludf.DUMMYFUNCTION("IF(query(Data!A:M,CONCATENATE(""select Col13 where Col1 = '"",C88,""' and Col8 = 'Human Oversight and Determination'""),0)&gt;70,1,0)"),"#REF!")</f>
        <v>#REF!</v>
      </c>
      <c r="Y88" s="34" t="str">
        <f>IFERROR(__xludf.DUMMYFUNCTION("IF(query(Data!A:M,CONCATENATE(""select Col13 where Col1 = '"",C88,""' and Col8 = 'Labour Protection and Right to Work'""),0)&gt;70,1,0)"),"#REF!")</f>
        <v>#REF!</v>
      </c>
      <c r="Z88" s="34" t="str">
        <f>IFERROR(__xludf.DUMMYFUNCTION("IF(query(Data!A:M,CONCATENATE(""select Col13 where Col1 = '"",C88,""' and Col8 = 'Safety, Accuracy and Reliability'""),0)&gt;70,1,0)"),"#REF!")</f>
        <v>#REF!</v>
      </c>
      <c r="AA88" s="34" t="str">
        <f>IFERROR(__xludf.DUMMYFUNCTION("IF(query(Data!A:M,CONCATENATE(""select Col13 where Col1 = '"",C88,""' and Col8 = 'Transparency and Explainability'""),0)&gt;70,1,0)"),"#REF!")</f>
        <v>#REF!</v>
      </c>
      <c r="AB88" s="35">
        <f t="shared" si="2"/>
        <v>0</v>
      </c>
      <c r="AC88" s="35">
        <f t="shared" si="3"/>
        <v>0</v>
      </c>
      <c r="AD88" s="35">
        <f t="shared" si="4"/>
        <v>0</v>
      </c>
      <c r="AE88" s="35">
        <f t="shared" si="5"/>
        <v>0</v>
      </c>
      <c r="AF88" s="35">
        <f t="shared" si="6"/>
        <v>0</v>
      </c>
      <c r="AG88" s="35" t="str">
        <f t="shared" si="7"/>
        <v>No</v>
      </c>
      <c r="AH88" s="35" t="str">
        <f>IFERROR(__xludf.DUMMYFUNCTION("IFERROR(query(query(Data!A:BS,CONCATENATE(""select Col50, count(Col49) where Col1 = '"",C88,""' group by Col50"")), CONCATENATE(""select Col1 where Col2 = "",query(query(query(Data!A:BS,CONCATENATE(""select Col50, count(Col49) where Col1 = '"",C88,""' and"&amp;" Col50 &lt;&gt; 'Other' and Col50 is not null group by Col50"")),""select max(Col2)"",0),""Select *"",0),"" limit 1""),0))"),"")</f>
        <v/>
      </c>
      <c r="AI88" s="35" t="str">
        <f t="shared" si="8"/>
        <v/>
      </c>
      <c r="AJ88" s="35" t="str">
        <f t="shared" si="9"/>
        <v>No</v>
      </c>
      <c r="AK88" s="35" t="str">
        <f>IFERROR(__xludf.DUMMYFUNCTION("IFERROR(query(query(Data!A:BS,CONCATENATE(""select Col70, count(Col69) where Col1 = '"",C88,""' group by Col70"")), CONCATENATE(""select Col1 where Col2 = "",query(query(query(Data!A:BS,CONCATENATE(""select Col70, count(Col69) where Col1 = '"",C88,""' and"&amp;" Col70 &lt;&gt; 'Other' and Col70 is not null group by Col70"")),""select max(Col2)"",0),""Select *"",0),"" limit 1""),0))"),"")</f>
        <v/>
      </c>
      <c r="AL88" s="35" t="str">
        <f t="shared" si="10"/>
        <v/>
      </c>
      <c r="AM88" s="35"/>
      <c r="AN88" s="35"/>
      <c r="AO88" s="35"/>
      <c r="AP88" s="35"/>
      <c r="AQ88" s="35"/>
      <c r="AR88" s="35"/>
      <c r="AS88" s="35"/>
      <c r="AT88" s="35"/>
      <c r="AU88" s="35"/>
      <c r="AV88" s="35"/>
    </row>
    <row r="89">
      <c r="A89" s="25">
        <v>65.0</v>
      </c>
      <c r="B89" s="26" t="s">
        <v>297</v>
      </c>
      <c r="C89" s="27" t="s">
        <v>298</v>
      </c>
      <c r="D89" s="28" t="s">
        <v>298</v>
      </c>
      <c r="E89" s="28" t="s">
        <v>52</v>
      </c>
      <c r="F89" s="28" t="s">
        <v>52</v>
      </c>
      <c r="G89" s="28" t="s">
        <v>53</v>
      </c>
      <c r="H89" s="29">
        <v>14.842560390003941</v>
      </c>
      <c r="I89" s="30">
        <v>0.0</v>
      </c>
      <c r="J89" s="30">
        <v>15.012102729395815</v>
      </c>
      <c r="K89" s="30">
        <v>44.18859649122807</v>
      </c>
      <c r="L89" s="31">
        <v>20.61242857142857</v>
      </c>
      <c r="M89" s="31">
        <v>9.629555555555555</v>
      </c>
      <c r="N89" s="31">
        <v>17.017666666666667</v>
      </c>
      <c r="O89" s="32" t="s">
        <v>54</v>
      </c>
      <c r="P89" s="32" t="s">
        <v>54</v>
      </c>
      <c r="Q89" s="32" t="s">
        <v>54</v>
      </c>
      <c r="R89" s="33" t="str">
        <f t="shared" si="1"/>
        <v>ddhh</v>
      </c>
      <c r="S89" s="34" t="str">
        <f>IFERROR(__xludf.DUMMYFUNCTION("IF(query(Data!A:M,CONCATENATE(""select Col13 where Col1 = '"",C89,""' and Col8 = 'Bias and Unfair Discrimination'""),0)&gt;70,1,0)"),"#REF!")</f>
        <v>#REF!</v>
      </c>
      <c r="T89" s="34" t="str">
        <f>IFERROR(__xludf.DUMMYFUNCTION("IF(query(Data!A:M,CONCATENATE(""select Col13 where Col1 = '"",C89,""' and Col8 = 'Childrens Rights'""),0)&gt;70,1,0)"),"#REF!")</f>
        <v>#REF!</v>
      </c>
      <c r="U89" s="34" t="str">
        <f>IFERROR(__xludf.DUMMYFUNCTION("IF(query(Data!A:M,CONCATENATE(""select Col13 where Col1 = '"",C89,""' and Col8 = 'Cultural and Linguistic Diversity'""),0)&gt;70,1,0)"),"#REF!")</f>
        <v>#REF!</v>
      </c>
      <c r="V89" s="34" t="str">
        <f>IFERROR(__xludf.DUMMYFUNCTION("IF(query(Data!A:M,CONCATENATE(""select Col13 where Col1 = '"",C89,""' and Col8 = 'Data Protection and Privacy'""),0)&gt;70,1,0)"),"#REF!")</f>
        <v>#REF!</v>
      </c>
      <c r="W89" s="34" t="str">
        <f>IFERROR(__xludf.DUMMYFUNCTION("IF(query(Data!A:M,CONCATENATE(""select Col13 where Col1 = '"",C89,""' and Col8 = 'Gender Equality'""),0)&gt;70,1,0)"),"#REF!")</f>
        <v>#REF!</v>
      </c>
      <c r="X89" s="34" t="str">
        <f>IFERROR(__xludf.DUMMYFUNCTION("IF(query(Data!A:M,CONCATENATE(""select Col13 where Col1 = '"",C89,""' and Col8 = 'Human Oversight and Determination'""),0)&gt;70,1,0)"),"#REF!")</f>
        <v>#REF!</v>
      </c>
      <c r="Y89" s="34" t="str">
        <f>IFERROR(__xludf.DUMMYFUNCTION("IF(query(Data!A:M,CONCATENATE(""select Col13 where Col1 = '"",C89,""' and Col8 = 'Labour Protection and Right to Work'""),0)&gt;70,1,0)"),"#REF!")</f>
        <v>#REF!</v>
      </c>
      <c r="Z89" s="34" t="str">
        <f>IFERROR(__xludf.DUMMYFUNCTION("IF(query(Data!A:M,CONCATENATE(""select Col13 where Col1 = '"",C89,""' and Col8 = 'Safety, Accuracy and Reliability'""),0)&gt;70,1,0)"),"#REF!")</f>
        <v>#REF!</v>
      </c>
      <c r="AA89" s="34" t="str">
        <f>IFERROR(__xludf.DUMMYFUNCTION("IF(query(Data!A:M,CONCATENATE(""select Col13 where Col1 = '"",C89,""' and Col8 = 'Transparency and Explainability'""),0)&gt;70,1,0)"),"#REF!")</f>
        <v>#REF!</v>
      </c>
      <c r="AB89" s="35">
        <f t="shared" si="2"/>
        <v>0</v>
      </c>
      <c r="AC89" s="35">
        <f t="shared" si="3"/>
        <v>0</v>
      </c>
      <c r="AD89" s="35">
        <f t="shared" si="4"/>
        <v>0</v>
      </c>
      <c r="AE89" s="35">
        <f t="shared" si="5"/>
        <v>0</v>
      </c>
      <c r="AF89" s="35">
        <f t="shared" si="6"/>
        <v>0</v>
      </c>
      <c r="AG89" s="35" t="str">
        <f t="shared" si="7"/>
        <v>No</v>
      </c>
      <c r="AH89" s="35" t="str">
        <f>IFERROR(__xludf.DUMMYFUNCTION("IFERROR(query(query(Data!A:BS,CONCATENATE(""select Col50, count(Col49) where Col1 = '"",C89,""' group by Col50"")), CONCATENATE(""select Col1 where Col2 = "",query(query(query(Data!A:BS,CONCATENATE(""select Col50, count(Col49) where Col1 = '"",C89,""' and"&amp;" Col50 &lt;&gt; 'Other' and Col50 is not null group by Col50"")),""select max(Col2)"",0),""Select *"",0),"" limit 1""),0))"),"")</f>
        <v/>
      </c>
      <c r="AI89" s="35" t="str">
        <f t="shared" si="8"/>
        <v/>
      </c>
      <c r="AJ89" s="35" t="str">
        <f t="shared" si="9"/>
        <v>No</v>
      </c>
      <c r="AK89" s="35" t="str">
        <f>IFERROR(__xludf.DUMMYFUNCTION("IFERROR(query(query(Data!A:BS,CONCATENATE(""select Col70, count(Col69) where Col1 = '"",C89,""' group by Col70"")), CONCATENATE(""select Col1 where Col2 = "",query(query(query(Data!A:BS,CONCATENATE(""select Col70, count(Col69) where Col1 = '"",C89,""' and"&amp;" Col70 &lt;&gt; 'Other' and Col70 is not null group by Col70"")),""select max(Col2)"",0),""Select *"",0),"" limit 1""),0))"),"")</f>
        <v/>
      </c>
      <c r="AL89" s="35" t="str">
        <f t="shared" si="10"/>
        <v/>
      </c>
      <c r="AM89" s="35"/>
      <c r="AN89" s="35"/>
      <c r="AO89" s="35"/>
      <c r="AP89" s="35"/>
      <c r="AQ89" s="35"/>
      <c r="AR89" s="35"/>
      <c r="AS89" s="35"/>
      <c r="AT89" s="35"/>
      <c r="AU89" s="35"/>
      <c r="AV89" s="35"/>
    </row>
    <row r="90">
      <c r="A90" s="25">
        <v>114.0</v>
      </c>
      <c r="B90" s="26" t="s">
        <v>299</v>
      </c>
      <c r="C90" s="27" t="s">
        <v>300</v>
      </c>
      <c r="D90" s="28" t="s">
        <v>300</v>
      </c>
      <c r="E90" s="28" t="s">
        <v>74</v>
      </c>
      <c r="F90" s="28" t="s">
        <v>74</v>
      </c>
      <c r="G90" s="28" t="s">
        <v>106</v>
      </c>
      <c r="H90" s="29">
        <v>1.671714658904494</v>
      </c>
      <c r="I90" s="30">
        <v>0.0</v>
      </c>
      <c r="J90" s="30">
        <v>2.0137164718226384</v>
      </c>
      <c r="K90" s="30">
        <v>4.331140350877193</v>
      </c>
      <c r="L90" s="31">
        <v>0.0</v>
      </c>
      <c r="M90" s="31">
        <v>1.8287777777777778</v>
      </c>
      <c r="N90" s="31">
        <v>5.101333333333334</v>
      </c>
      <c r="O90" s="32" t="s">
        <v>49</v>
      </c>
      <c r="P90" s="32" t="s">
        <v>76</v>
      </c>
      <c r="Q90" s="32" t="s">
        <v>54</v>
      </c>
      <c r="R90" s="33" t="str">
        <f t="shared" si="1"/>
        <v>cap</v>
      </c>
      <c r="S90" s="34" t="str">
        <f>IFERROR(__xludf.DUMMYFUNCTION("IF(query(Data!A:M,CONCATENATE(""select Col13 where Col1 = '"",C90,""' and Col8 = 'Bias and Unfair Discrimination'""),0)&gt;70,1,0)"),"#REF!")</f>
        <v>#REF!</v>
      </c>
      <c r="T90" s="34" t="str">
        <f>IFERROR(__xludf.DUMMYFUNCTION("IF(query(Data!A:M,CONCATENATE(""select Col13 where Col1 = '"",C90,""' and Col8 = 'Childrens Rights'""),0)&gt;70,1,0)"),"#REF!")</f>
        <v>#REF!</v>
      </c>
      <c r="U90" s="34" t="str">
        <f>IFERROR(__xludf.DUMMYFUNCTION("IF(query(Data!A:M,CONCATENATE(""select Col13 where Col1 = '"",C90,""' and Col8 = 'Cultural and Linguistic Diversity'""),0)&gt;70,1,0)"),"#REF!")</f>
        <v>#REF!</v>
      </c>
      <c r="V90" s="34" t="str">
        <f>IFERROR(__xludf.DUMMYFUNCTION("IF(query(Data!A:M,CONCATENATE(""select Col13 where Col1 = '"",C90,""' and Col8 = 'Data Protection and Privacy'""),0)&gt;70,1,0)"),"#REF!")</f>
        <v>#REF!</v>
      </c>
      <c r="W90" s="34" t="str">
        <f>IFERROR(__xludf.DUMMYFUNCTION("IF(query(Data!A:M,CONCATENATE(""select Col13 where Col1 = '"",C90,""' and Col8 = 'Gender Equality'""),0)&gt;70,1,0)"),"#REF!")</f>
        <v>#REF!</v>
      </c>
      <c r="X90" s="34" t="str">
        <f>IFERROR(__xludf.DUMMYFUNCTION("IF(query(Data!A:M,CONCATENATE(""select Col13 where Col1 = '"",C90,""' and Col8 = 'Human Oversight and Determination'""),0)&gt;70,1,0)"),"#REF!")</f>
        <v>#REF!</v>
      </c>
      <c r="Y90" s="34" t="str">
        <f>IFERROR(__xludf.DUMMYFUNCTION("IF(query(Data!A:M,CONCATENATE(""select Col13 where Col1 = '"",C90,""' and Col8 = 'Labour Protection and Right to Work'""),0)&gt;70,1,0)"),"#REF!")</f>
        <v>#REF!</v>
      </c>
      <c r="Z90" s="34" t="str">
        <f>IFERROR(__xludf.DUMMYFUNCTION("IF(query(Data!A:M,CONCATENATE(""select Col13 where Col1 = '"",C90,""' and Col8 = 'Safety, Accuracy and Reliability'""),0)&gt;70,1,0)"),"#REF!")</f>
        <v>#REF!</v>
      </c>
      <c r="AA90" s="34" t="str">
        <f>IFERROR(__xludf.DUMMYFUNCTION("IF(query(Data!A:M,CONCATENATE(""select Col13 where Col1 = '"",C90,""' and Col8 = 'Transparency and Explainability'""),0)&gt;70,1,0)"),"#REF!")</f>
        <v>#REF!</v>
      </c>
      <c r="AB90" s="35">
        <f t="shared" si="2"/>
        <v>0</v>
      </c>
      <c r="AC90" s="35">
        <f t="shared" si="3"/>
        <v>0</v>
      </c>
      <c r="AD90" s="35">
        <f t="shared" si="4"/>
        <v>0</v>
      </c>
      <c r="AE90" s="35">
        <f t="shared" si="5"/>
        <v>0</v>
      </c>
      <c r="AF90" s="35">
        <f t="shared" si="6"/>
        <v>0</v>
      </c>
      <c r="AG90" s="35" t="str">
        <f t="shared" si="7"/>
        <v>No</v>
      </c>
      <c r="AH90" s="35" t="str">
        <f>IFERROR(__xludf.DUMMYFUNCTION("IFERROR(query(query(Data!A:BS,CONCATENATE(""select Col50, count(Col49) where Col1 = '"",C90,""' group by Col50"")), CONCATENATE(""select Col1 where Col2 = "",query(query(query(Data!A:BS,CONCATENATE(""select Col50, count(Col49) where Col1 = '"",C90,""' and"&amp;" Col50 &lt;&gt; 'Other' and Col50 is not null group by Col50"")),""select max(Col2)"",0),""Select *"",0),"" limit 1""),0))"),"")</f>
        <v/>
      </c>
      <c r="AI90" s="35" t="str">
        <f t="shared" si="8"/>
        <v/>
      </c>
      <c r="AJ90" s="35" t="str">
        <f t="shared" si="9"/>
        <v>No</v>
      </c>
      <c r="AK90" s="35" t="str">
        <f>IFERROR(__xludf.DUMMYFUNCTION("IFERROR(query(query(Data!A:BS,CONCATENATE(""select Col70, count(Col69) where Col1 = '"",C90,""' group by Col70"")), CONCATENATE(""select Col1 where Col2 = "",query(query(query(Data!A:BS,CONCATENATE(""select Col70, count(Col69) where Col1 = '"",C90,""' and"&amp;" Col70 &lt;&gt; 'Other' and Col70 is not null group by Col70"")),""select max(Col2)"",0),""Select *"",0),"" limit 1""),0))"),"")</f>
        <v/>
      </c>
      <c r="AL90" s="35" t="str">
        <f t="shared" si="10"/>
        <v/>
      </c>
      <c r="AM90" s="35"/>
      <c r="AN90" s="35"/>
      <c r="AO90" s="35"/>
      <c r="AP90" s="35"/>
      <c r="AQ90" s="35"/>
      <c r="AR90" s="35"/>
      <c r="AS90" s="35"/>
      <c r="AT90" s="35"/>
      <c r="AU90" s="35"/>
      <c r="AV90" s="35"/>
    </row>
    <row r="91">
      <c r="A91" s="25">
        <v>134.0</v>
      </c>
      <c r="B91" s="26" t="s">
        <v>301</v>
      </c>
      <c r="C91" s="27" t="s">
        <v>302</v>
      </c>
      <c r="D91" s="28" t="s">
        <v>302</v>
      </c>
      <c r="E91" s="28" t="s">
        <v>46</v>
      </c>
      <c r="F91" s="28" t="s">
        <v>47</v>
      </c>
      <c r="G91" s="28" t="s">
        <v>132</v>
      </c>
      <c r="H91" s="29">
        <v>0.6043942436419035</v>
      </c>
      <c r="I91" s="30">
        <v>0.0</v>
      </c>
      <c r="J91" s="30">
        <v>1.5109856091047587</v>
      </c>
      <c r="K91" s="30">
        <v>0.0</v>
      </c>
      <c r="L91" s="31">
        <v>0.0</v>
      </c>
      <c r="M91" s="31">
        <v>0.0</v>
      </c>
      <c r="N91" s="31">
        <v>3.827666666666667</v>
      </c>
      <c r="O91" s="32" t="s">
        <v>49</v>
      </c>
      <c r="P91" s="32" t="s">
        <v>49</v>
      </c>
      <c r="Q91" s="32" t="s">
        <v>49</v>
      </c>
      <c r="R91" s="33" t="str">
        <f t="shared" si="1"/>
        <v>cap</v>
      </c>
      <c r="S91" s="34" t="str">
        <f>IFERROR(__xludf.DUMMYFUNCTION("IF(query(Data!A:M,CONCATENATE(""select Col13 where Col1 = '"",C91,""' and Col8 = 'Bias and Unfair Discrimination'""),0)&gt;70,1,0)"),"#REF!")</f>
        <v>#REF!</v>
      </c>
      <c r="T91" s="34" t="str">
        <f>IFERROR(__xludf.DUMMYFUNCTION("IF(query(Data!A:M,CONCATENATE(""select Col13 where Col1 = '"",C91,""' and Col8 = 'Childrens Rights'""),0)&gt;70,1,0)"),"#REF!")</f>
        <v>#REF!</v>
      </c>
      <c r="U91" s="34" t="str">
        <f>IFERROR(__xludf.DUMMYFUNCTION("IF(query(Data!A:M,CONCATENATE(""select Col13 where Col1 = '"",C91,""' and Col8 = 'Cultural and Linguistic Diversity'""),0)&gt;70,1,0)"),"#REF!")</f>
        <v>#REF!</v>
      </c>
      <c r="V91" s="34" t="str">
        <f>IFERROR(__xludf.DUMMYFUNCTION("IF(query(Data!A:M,CONCATENATE(""select Col13 where Col1 = '"",C91,""' and Col8 = 'Data Protection and Privacy'""),0)&gt;70,1,0)"),"#REF!")</f>
        <v>#REF!</v>
      </c>
      <c r="W91" s="34" t="str">
        <f>IFERROR(__xludf.DUMMYFUNCTION("IF(query(Data!A:M,CONCATENATE(""select Col13 where Col1 = '"",C91,""' and Col8 = 'Gender Equality'""),0)&gt;70,1,0)"),"#REF!")</f>
        <v>#REF!</v>
      </c>
      <c r="X91" s="34" t="str">
        <f>IFERROR(__xludf.DUMMYFUNCTION("IF(query(Data!A:M,CONCATENATE(""select Col13 where Col1 = '"",C91,""' and Col8 = 'Human Oversight and Determination'""),0)&gt;70,1,0)"),"#REF!")</f>
        <v>#REF!</v>
      </c>
      <c r="Y91" s="34" t="str">
        <f>IFERROR(__xludf.DUMMYFUNCTION("IF(query(Data!A:M,CONCATENATE(""select Col13 where Col1 = '"",C91,""' and Col8 = 'Labour Protection and Right to Work'""),0)&gt;70,1,0)"),"#REF!")</f>
        <v>#REF!</v>
      </c>
      <c r="Z91" s="34" t="str">
        <f>IFERROR(__xludf.DUMMYFUNCTION("IF(query(Data!A:M,CONCATENATE(""select Col13 where Col1 = '"",C91,""' and Col8 = 'Safety, Accuracy and Reliability'""),0)&gt;70,1,0)"),"#REF!")</f>
        <v>#REF!</v>
      </c>
      <c r="AA91" s="34" t="str">
        <f>IFERROR(__xludf.DUMMYFUNCTION("IF(query(Data!A:M,CONCATENATE(""select Col13 where Col1 = '"",C91,""' and Col8 = 'Transparency and Explainability'""),0)&gt;70,1,0)"),"#REF!")</f>
        <v>#REF!</v>
      </c>
      <c r="AB91" s="35">
        <f t="shared" si="2"/>
        <v>0</v>
      </c>
      <c r="AC91" s="35">
        <f t="shared" si="3"/>
        <v>0</v>
      </c>
      <c r="AD91" s="35">
        <f t="shared" si="4"/>
        <v>0</v>
      </c>
      <c r="AE91" s="35">
        <f t="shared" si="5"/>
        <v>0</v>
      </c>
      <c r="AF91" s="35">
        <f t="shared" si="6"/>
        <v>0</v>
      </c>
      <c r="AG91" s="35" t="str">
        <f t="shared" si="7"/>
        <v>No</v>
      </c>
      <c r="AH91" s="35" t="str">
        <f>IFERROR(__xludf.DUMMYFUNCTION("IFERROR(query(query(Data!A:BS,CONCATENATE(""select Col50, count(Col49) where Col1 = '"",C91,""' group by Col50"")), CONCATENATE(""select Col1 where Col2 = "",query(query(query(Data!A:BS,CONCATENATE(""select Col50, count(Col49) where Col1 = '"",C91,""' and"&amp;" Col50 &lt;&gt; 'Other' and Col50 is not null group by Col50"")),""select max(Col2)"",0),""Select *"",0),"" limit 1""),0))"),"")</f>
        <v/>
      </c>
      <c r="AI91" s="35" t="str">
        <f t="shared" si="8"/>
        <v/>
      </c>
      <c r="AJ91" s="35" t="str">
        <f t="shared" si="9"/>
        <v>No</v>
      </c>
      <c r="AK91" s="35" t="str">
        <f>IFERROR(__xludf.DUMMYFUNCTION("IFERROR(query(query(Data!A:BS,CONCATENATE(""select Col70, count(Col69) where Col1 = '"",C91,""' group by Col70"")), CONCATENATE(""select Col1 where Col2 = "",query(query(query(Data!A:BS,CONCATENATE(""select Col70, count(Col69) where Col1 = '"",C91,""' and"&amp;" Col70 &lt;&gt; 'Other' and Col70 is not null group by Col70"")),""select max(Col2)"",0),""Select *"",0),"" limit 1""),0))"),"")</f>
        <v/>
      </c>
      <c r="AL91" s="35" t="str">
        <f t="shared" si="10"/>
        <v/>
      </c>
      <c r="AM91" s="35"/>
      <c r="AN91" s="35"/>
      <c r="AO91" s="35"/>
      <c r="AP91" s="35"/>
      <c r="AQ91" s="35"/>
      <c r="AR91" s="35"/>
      <c r="AS91" s="35"/>
      <c r="AT91" s="35"/>
      <c r="AU91" s="35"/>
      <c r="AV91" s="35"/>
    </row>
    <row r="92">
      <c r="A92" s="25">
        <v>73.0</v>
      </c>
      <c r="B92" s="26" t="s">
        <v>303</v>
      </c>
      <c r="C92" s="27" t="s">
        <v>304</v>
      </c>
      <c r="D92" s="28" t="s">
        <v>304</v>
      </c>
      <c r="E92" s="28" t="s">
        <v>74</v>
      </c>
      <c r="F92" s="28" t="s">
        <v>74</v>
      </c>
      <c r="G92" s="28" t="s">
        <v>106</v>
      </c>
      <c r="H92" s="29">
        <v>10.844401650679739</v>
      </c>
      <c r="I92" s="30">
        <v>0.0</v>
      </c>
      <c r="J92" s="30">
        <v>19.833043600383558</v>
      </c>
      <c r="K92" s="30">
        <v>14.555921052631575</v>
      </c>
      <c r="L92" s="31">
        <v>15.352142857142857</v>
      </c>
      <c r="M92" s="31">
        <v>6.164</v>
      </c>
      <c r="N92" s="31">
        <v>14.367666666666667</v>
      </c>
      <c r="O92" s="32" t="s">
        <v>54</v>
      </c>
      <c r="P92" s="32" t="s">
        <v>54</v>
      </c>
      <c r="Q92" s="32" t="s">
        <v>59</v>
      </c>
      <c r="R92" s="33" t="str">
        <f t="shared" si="1"/>
        <v>ddhh</v>
      </c>
      <c r="S92" s="34" t="str">
        <f>IFERROR(__xludf.DUMMYFUNCTION("IF(query(Data!A:M,CONCATENATE(""select Col13 where Col1 = '"",C92,""' and Col8 = 'Bias and Unfair Discrimination'""),0)&gt;70,1,0)"),"#REF!")</f>
        <v>#REF!</v>
      </c>
      <c r="T92" s="34" t="str">
        <f>IFERROR(__xludf.DUMMYFUNCTION("IF(query(Data!A:M,CONCATENATE(""select Col13 where Col1 = '"",C92,""' and Col8 = 'Childrens Rights'""),0)&gt;70,1,0)"),"#REF!")</f>
        <v>#REF!</v>
      </c>
      <c r="U92" s="34" t="str">
        <f>IFERROR(__xludf.DUMMYFUNCTION("IF(query(Data!A:M,CONCATENATE(""select Col13 where Col1 = '"",C92,""' and Col8 = 'Cultural and Linguistic Diversity'""),0)&gt;70,1,0)"),"#REF!")</f>
        <v>#REF!</v>
      </c>
      <c r="V92" s="34" t="str">
        <f>IFERROR(__xludf.DUMMYFUNCTION("IF(query(Data!A:M,CONCATENATE(""select Col13 where Col1 = '"",C92,""' and Col8 = 'Data Protection and Privacy'""),0)&gt;70,1,0)"),"#REF!")</f>
        <v>#REF!</v>
      </c>
      <c r="W92" s="34" t="str">
        <f>IFERROR(__xludf.DUMMYFUNCTION("IF(query(Data!A:M,CONCATENATE(""select Col13 where Col1 = '"",C92,""' and Col8 = 'Gender Equality'""),0)&gt;70,1,0)"),"#REF!")</f>
        <v>#REF!</v>
      </c>
      <c r="X92" s="34" t="str">
        <f>IFERROR(__xludf.DUMMYFUNCTION("IF(query(Data!A:M,CONCATENATE(""select Col13 where Col1 = '"",C92,""' and Col8 = 'Human Oversight and Determination'""),0)&gt;70,1,0)"),"#REF!")</f>
        <v>#REF!</v>
      </c>
      <c r="Y92" s="34" t="str">
        <f>IFERROR(__xludf.DUMMYFUNCTION("IF(query(Data!A:M,CONCATENATE(""select Col13 where Col1 = '"",C92,""' and Col8 = 'Labour Protection and Right to Work'""),0)&gt;70,1,0)"),"#REF!")</f>
        <v>#REF!</v>
      </c>
      <c r="Z92" s="34" t="str">
        <f>IFERROR(__xludf.DUMMYFUNCTION("IF(query(Data!A:M,CONCATENATE(""select Col13 where Col1 = '"",C92,""' and Col8 = 'Safety, Accuracy and Reliability'""),0)&gt;70,1,0)"),"#REF!")</f>
        <v>#REF!</v>
      </c>
      <c r="AA92" s="34" t="str">
        <f>IFERROR(__xludf.DUMMYFUNCTION("IF(query(Data!A:M,CONCATENATE(""select Col13 where Col1 = '"",C92,""' and Col8 = 'Transparency and Explainability'""),0)&gt;70,1,0)"),"#REF!")</f>
        <v>#REF!</v>
      </c>
      <c r="AB92" s="35">
        <f t="shared" si="2"/>
        <v>0</v>
      </c>
      <c r="AC92" s="35">
        <f t="shared" si="3"/>
        <v>0</v>
      </c>
      <c r="AD92" s="35">
        <f t="shared" si="4"/>
        <v>0</v>
      </c>
      <c r="AE92" s="35">
        <f t="shared" si="5"/>
        <v>0</v>
      </c>
      <c r="AF92" s="35">
        <f t="shared" si="6"/>
        <v>0</v>
      </c>
      <c r="AG92" s="35" t="str">
        <f t="shared" si="7"/>
        <v>No</v>
      </c>
      <c r="AH92" s="35" t="str">
        <f>IFERROR(__xludf.DUMMYFUNCTION("IFERROR(query(query(Data!A:BS,CONCATENATE(""select Col50, count(Col49) where Col1 = '"",C92,""' group by Col50"")), CONCATENATE(""select Col1 where Col2 = "",query(query(query(Data!A:BS,CONCATENATE(""select Col50, count(Col49) where Col1 = '"",C92,""' and"&amp;" Col50 &lt;&gt; 'Other' and Col50 is not null group by Col50"")),""select max(Col2)"",0),""Select *"",0),"" limit 1""),0))"),"")</f>
        <v/>
      </c>
      <c r="AI92" s="35" t="str">
        <f t="shared" si="8"/>
        <v/>
      </c>
      <c r="AJ92" s="35" t="str">
        <f t="shared" si="9"/>
        <v>No</v>
      </c>
      <c r="AK92" s="35" t="str">
        <f>IFERROR(__xludf.DUMMYFUNCTION("IFERROR(query(query(Data!A:BS,CONCATENATE(""select Col70, count(Col69) where Col1 = '"",C92,""' group by Col70"")), CONCATENATE(""select Col1 where Col2 = "",query(query(query(Data!A:BS,CONCATENATE(""select Col70, count(Col69) where Col1 = '"",C92,""' and"&amp;" Col70 &lt;&gt; 'Other' and Col70 is not null group by Col70"")),""select max(Col2)"",0),""Select *"",0),"" limit 1""),0))"),"")</f>
        <v/>
      </c>
      <c r="AL92" s="35" t="str">
        <f t="shared" si="10"/>
        <v/>
      </c>
      <c r="AM92" s="35"/>
      <c r="AN92" s="35"/>
      <c r="AO92" s="35"/>
      <c r="AP92" s="35"/>
      <c r="AQ92" s="35"/>
      <c r="AR92" s="35"/>
      <c r="AS92" s="35"/>
      <c r="AT92" s="35"/>
      <c r="AU92" s="35"/>
      <c r="AV92" s="35"/>
    </row>
    <row r="93">
      <c r="A93" s="25">
        <v>82.0</v>
      </c>
      <c r="B93" s="26" t="s">
        <v>305</v>
      </c>
      <c r="C93" s="27" t="s">
        <v>306</v>
      </c>
      <c r="D93" s="28" t="s">
        <v>306</v>
      </c>
      <c r="E93" s="28" t="s">
        <v>46</v>
      </c>
      <c r="F93" s="28" t="s">
        <v>47</v>
      </c>
      <c r="G93" s="28" t="s">
        <v>48</v>
      </c>
      <c r="H93" s="29">
        <v>6.777412280701754</v>
      </c>
      <c r="I93" s="30">
        <v>0.0</v>
      </c>
      <c r="J93" s="30">
        <v>12.43421052631579</v>
      </c>
      <c r="K93" s="30">
        <v>9.018640350877192</v>
      </c>
      <c r="L93" s="31">
        <v>7.297714285714286</v>
      </c>
      <c r="M93" s="31">
        <v>2.838</v>
      </c>
      <c r="N93" s="31">
        <v>17.382</v>
      </c>
      <c r="O93" s="32" t="s">
        <v>76</v>
      </c>
      <c r="P93" s="32" t="s">
        <v>76</v>
      </c>
      <c r="Q93" s="32" t="s">
        <v>54</v>
      </c>
      <c r="R93" s="33" t="str">
        <f t="shared" si="1"/>
        <v>cap</v>
      </c>
      <c r="S93" s="34" t="str">
        <f>IFERROR(__xludf.DUMMYFUNCTION("IF(query(Data!A:M,CONCATENATE(""select Col13 where Col1 = '"",C93,""' and Col8 = 'Bias and Unfair Discrimination'""),0)&gt;70,1,0)"),"#REF!")</f>
        <v>#REF!</v>
      </c>
      <c r="T93" s="34" t="str">
        <f>IFERROR(__xludf.DUMMYFUNCTION("IF(query(Data!A:M,CONCATENATE(""select Col13 where Col1 = '"",C93,""' and Col8 = 'Childrens Rights'""),0)&gt;70,1,0)"),"#REF!")</f>
        <v>#REF!</v>
      </c>
      <c r="U93" s="34" t="str">
        <f>IFERROR(__xludf.DUMMYFUNCTION("IF(query(Data!A:M,CONCATENATE(""select Col13 where Col1 = '"",C93,""' and Col8 = 'Cultural and Linguistic Diversity'""),0)&gt;70,1,0)"),"#REF!")</f>
        <v>#REF!</v>
      </c>
      <c r="V93" s="34" t="str">
        <f>IFERROR(__xludf.DUMMYFUNCTION("IF(query(Data!A:M,CONCATENATE(""select Col13 where Col1 = '"",C93,""' and Col8 = 'Data Protection and Privacy'""),0)&gt;70,1,0)"),"#REF!")</f>
        <v>#REF!</v>
      </c>
      <c r="W93" s="34" t="str">
        <f>IFERROR(__xludf.DUMMYFUNCTION("IF(query(Data!A:M,CONCATENATE(""select Col13 where Col1 = '"",C93,""' and Col8 = 'Gender Equality'""),0)&gt;70,1,0)"),"#REF!")</f>
        <v>#REF!</v>
      </c>
      <c r="X93" s="34" t="str">
        <f>IFERROR(__xludf.DUMMYFUNCTION("IF(query(Data!A:M,CONCATENATE(""select Col13 where Col1 = '"",C93,""' and Col8 = 'Human Oversight and Determination'""),0)&gt;70,1,0)"),"#REF!")</f>
        <v>#REF!</v>
      </c>
      <c r="Y93" s="34" t="str">
        <f>IFERROR(__xludf.DUMMYFUNCTION("IF(query(Data!A:M,CONCATENATE(""select Col13 where Col1 = '"",C93,""' and Col8 = 'Labour Protection and Right to Work'""),0)&gt;70,1,0)"),"#REF!")</f>
        <v>#REF!</v>
      </c>
      <c r="Z93" s="34" t="str">
        <f>IFERROR(__xludf.DUMMYFUNCTION("IF(query(Data!A:M,CONCATENATE(""select Col13 where Col1 = '"",C93,""' and Col8 = 'Safety, Accuracy and Reliability'""),0)&gt;70,1,0)"),"#REF!")</f>
        <v>#REF!</v>
      </c>
      <c r="AA93" s="34" t="str">
        <f>IFERROR(__xludf.DUMMYFUNCTION("IF(query(Data!A:M,CONCATENATE(""select Col13 where Col1 = '"",C93,""' and Col8 = 'Transparency and Explainability'""),0)&gt;70,1,0)"),"#REF!")</f>
        <v>#REF!</v>
      </c>
      <c r="AB93" s="35">
        <f t="shared" si="2"/>
        <v>0</v>
      </c>
      <c r="AC93" s="35">
        <f t="shared" si="3"/>
        <v>0</v>
      </c>
      <c r="AD93" s="35">
        <f t="shared" si="4"/>
        <v>0</v>
      </c>
      <c r="AE93" s="35">
        <f t="shared" si="5"/>
        <v>0</v>
      </c>
      <c r="AF93" s="35">
        <f t="shared" si="6"/>
        <v>0</v>
      </c>
      <c r="AG93" s="35" t="str">
        <f t="shared" si="7"/>
        <v>No</v>
      </c>
      <c r="AH93" s="35" t="str">
        <f>IFERROR(__xludf.DUMMYFUNCTION("IFERROR(query(query(Data!A:BS,CONCATENATE(""select Col50, count(Col49) where Col1 = '"",C93,""' group by Col50"")), CONCATENATE(""select Col1 where Col2 = "",query(query(query(Data!A:BS,CONCATENATE(""select Col50, count(Col49) where Col1 = '"",C93,""' and"&amp;" Col50 &lt;&gt; 'Other' and Col50 is not null group by Col50"")),""select max(Col2)"",0),""Select *"",0),"" limit 1""),0))"),"")</f>
        <v/>
      </c>
      <c r="AI93" s="35" t="str">
        <f t="shared" si="8"/>
        <v/>
      </c>
      <c r="AJ93" s="35" t="str">
        <f t="shared" si="9"/>
        <v>No</v>
      </c>
      <c r="AK93" s="35" t="str">
        <f>IFERROR(__xludf.DUMMYFUNCTION("IFERROR(query(query(Data!A:BS,CONCATENATE(""select Col70, count(Col69) where Col1 = '"",C93,""' group by Col70"")), CONCATENATE(""select Col1 where Col2 = "",query(query(query(Data!A:BS,CONCATENATE(""select Col70, count(Col69) where Col1 = '"",C93,""' and"&amp;" Col70 &lt;&gt; 'Other' and Col70 is not null group by Col70"")),""select max(Col2)"",0),""Select *"",0),"" limit 1""),0))"),"")</f>
        <v/>
      </c>
      <c r="AL93" s="35" t="str">
        <f t="shared" si="10"/>
        <v/>
      </c>
      <c r="AM93" s="35"/>
      <c r="AN93" s="35"/>
      <c r="AO93" s="35"/>
      <c r="AP93" s="35"/>
      <c r="AQ93" s="35"/>
      <c r="AR93" s="35"/>
      <c r="AS93" s="35"/>
      <c r="AT93" s="35"/>
      <c r="AU93" s="35"/>
      <c r="AV93" s="35"/>
    </row>
    <row r="94">
      <c r="A94" s="25">
        <v>90.0</v>
      </c>
      <c r="B94" s="26" t="s">
        <v>307</v>
      </c>
      <c r="C94" s="27" t="s">
        <v>308</v>
      </c>
      <c r="D94" s="28" t="s">
        <v>309</v>
      </c>
      <c r="E94" s="28" t="s">
        <v>74</v>
      </c>
      <c r="F94" s="28" t="s">
        <v>74</v>
      </c>
      <c r="G94" s="28" t="s">
        <v>106</v>
      </c>
      <c r="H94" s="29">
        <v>5.276915784300419</v>
      </c>
      <c r="I94" s="30">
        <v>9.806355576766165</v>
      </c>
      <c r="J94" s="30">
        <v>2.248324234862076</v>
      </c>
      <c r="K94" s="30">
        <v>2.2752192982456134</v>
      </c>
      <c r="L94" s="31">
        <v>5.941000000000001</v>
      </c>
      <c r="M94" s="31">
        <v>4.140444444444444</v>
      </c>
      <c r="N94" s="31">
        <v>7.136666666666667</v>
      </c>
      <c r="O94" s="32" t="s">
        <v>76</v>
      </c>
      <c r="P94" s="32" t="s">
        <v>76</v>
      </c>
      <c r="Q94" s="32" t="s">
        <v>54</v>
      </c>
      <c r="R94" s="33" t="str">
        <f t="shared" si="1"/>
        <v>cap</v>
      </c>
      <c r="S94" s="34" t="str">
        <f>IFERROR(__xludf.DUMMYFUNCTION("IF(query(Data!A:M,CONCATENATE(""select Col13 where Col1 = '"",C94,""' and Col8 = 'Bias and Unfair Discrimination'""),0)&gt;70,1,0)"),"#REF!")</f>
        <v>#REF!</v>
      </c>
      <c r="T94" s="34" t="str">
        <f>IFERROR(__xludf.DUMMYFUNCTION("IF(query(Data!A:M,CONCATENATE(""select Col13 where Col1 = '"",C94,""' and Col8 = 'Childrens Rights'""),0)&gt;70,1,0)"),"#REF!")</f>
        <v>#REF!</v>
      </c>
      <c r="U94" s="34" t="str">
        <f>IFERROR(__xludf.DUMMYFUNCTION("IF(query(Data!A:M,CONCATENATE(""select Col13 where Col1 = '"",C94,""' and Col8 = 'Cultural and Linguistic Diversity'""),0)&gt;70,1,0)"),"#REF!")</f>
        <v>#REF!</v>
      </c>
      <c r="V94" s="34" t="str">
        <f>IFERROR(__xludf.DUMMYFUNCTION("IF(query(Data!A:M,CONCATENATE(""select Col13 where Col1 = '"",C94,""' and Col8 = 'Data Protection and Privacy'""),0)&gt;70,1,0)"),"#REF!")</f>
        <v>#REF!</v>
      </c>
      <c r="W94" s="34" t="str">
        <f>IFERROR(__xludf.DUMMYFUNCTION("IF(query(Data!A:M,CONCATENATE(""select Col13 where Col1 = '"",C94,""' and Col8 = 'Gender Equality'""),0)&gt;70,1,0)"),"#REF!")</f>
        <v>#REF!</v>
      </c>
      <c r="X94" s="34" t="str">
        <f>IFERROR(__xludf.DUMMYFUNCTION("IF(query(Data!A:M,CONCATENATE(""select Col13 where Col1 = '"",C94,""' and Col8 = 'Human Oversight and Determination'""),0)&gt;70,1,0)"),"#REF!")</f>
        <v>#REF!</v>
      </c>
      <c r="Y94" s="34" t="str">
        <f>IFERROR(__xludf.DUMMYFUNCTION("IF(query(Data!A:M,CONCATENATE(""select Col13 where Col1 = '"",C94,""' and Col8 = 'Labour Protection and Right to Work'""),0)&gt;70,1,0)"),"#REF!")</f>
        <v>#REF!</v>
      </c>
      <c r="Z94" s="34" t="str">
        <f>IFERROR(__xludf.DUMMYFUNCTION("IF(query(Data!A:M,CONCATENATE(""select Col13 where Col1 = '"",C94,""' and Col8 = 'Safety, Accuracy and Reliability'""),0)&gt;70,1,0)"),"#REF!")</f>
        <v>#REF!</v>
      </c>
      <c r="AA94" s="34" t="str">
        <f>IFERROR(__xludf.DUMMYFUNCTION("IF(query(Data!A:M,CONCATENATE(""select Col13 where Col1 = '"",C94,""' and Col8 = 'Transparency and Explainability'""),0)&gt;70,1,0)"),"#REF!")</f>
        <v>#REF!</v>
      </c>
      <c r="AB94" s="35">
        <f t="shared" si="2"/>
        <v>0</v>
      </c>
      <c r="AC94" s="35">
        <f t="shared" si="3"/>
        <v>0</v>
      </c>
      <c r="AD94" s="35">
        <f t="shared" si="4"/>
        <v>0</v>
      </c>
      <c r="AE94" s="35">
        <f t="shared" si="5"/>
        <v>0</v>
      </c>
      <c r="AF94" s="35">
        <f t="shared" si="6"/>
        <v>0</v>
      </c>
      <c r="AG94" s="35" t="str">
        <f t="shared" si="7"/>
        <v>No</v>
      </c>
      <c r="AH94" s="35" t="str">
        <f>IFERROR(__xludf.DUMMYFUNCTION("IFERROR(query(query(Data!A:BS,CONCATENATE(""select Col50, count(Col49) where Col1 = '"",C94,""' group by Col50"")), CONCATENATE(""select Col1 where Col2 = "",query(query(query(Data!A:BS,CONCATENATE(""select Col50, count(Col49) where Col1 = '"",C94,""' and"&amp;" Col50 &lt;&gt; 'Other' and Col50 is not null group by Col50"")),""select max(Col2)"",0),""Select *"",0),"" limit 1""),0))"),"")</f>
        <v/>
      </c>
      <c r="AI94" s="35" t="str">
        <f t="shared" si="8"/>
        <v/>
      </c>
      <c r="AJ94" s="35" t="str">
        <f t="shared" si="9"/>
        <v>No</v>
      </c>
      <c r="AK94" s="35" t="str">
        <f>IFERROR(__xludf.DUMMYFUNCTION("IFERROR(query(query(Data!A:BS,CONCATENATE(""select Col70, count(Col69) where Col1 = '"",C94,""' group by Col70"")), CONCATENATE(""select Col1 where Col2 = "",query(query(query(Data!A:BS,CONCATENATE(""select Col70, count(Col69) where Col1 = '"",C94,""' and"&amp;" Col70 &lt;&gt; 'Other' and Col70 is not null group by Col70"")),""select max(Col2)"",0),""Select *"",0),"" limit 1""),0))"),"")</f>
        <v/>
      </c>
      <c r="AL94" s="35" t="str">
        <f t="shared" si="10"/>
        <v/>
      </c>
      <c r="AM94" s="35"/>
      <c r="AN94" s="35"/>
      <c r="AO94" s="35"/>
      <c r="AP94" s="35"/>
      <c r="AQ94" s="35"/>
      <c r="AR94" s="35"/>
      <c r="AS94" s="35"/>
      <c r="AT94" s="35"/>
      <c r="AU94" s="35"/>
      <c r="AV94" s="35"/>
    </row>
    <row r="95">
      <c r="A95" s="25">
        <v>80.0</v>
      </c>
      <c r="B95" s="26" t="s">
        <v>310</v>
      </c>
      <c r="C95" s="27" t="s">
        <v>311</v>
      </c>
      <c r="D95" s="28" t="s">
        <v>311</v>
      </c>
      <c r="E95" s="28" t="s">
        <v>74</v>
      </c>
      <c r="F95" s="28" t="s">
        <v>74</v>
      </c>
      <c r="G95" s="28" t="s">
        <v>106</v>
      </c>
      <c r="H95" s="29">
        <v>7.208788495565717</v>
      </c>
      <c r="I95" s="30">
        <v>3.8977159951862537</v>
      </c>
      <c r="J95" s="30">
        <v>6.969649980570142</v>
      </c>
      <c r="K95" s="30">
        <v>14.309210526315786</v>
      </c>
      <c r="L95" s="31">
        <v>8.590857142857143</v>
      </c>
      <c r="M95" s="31">
        <v>6.098111111111112</v>
      </c>
      <c r="N95" s="31">
        <v>7.315666666666666</v>
      </c>
      <c r="O95" s="32" t="s">
        <v>49</v>
      </c>
      <c r="P95" s="32" t="s">
        <v>49</v>
      </c>
      <c r="Q95" s="32" t="s">
        <v>54</v>
      </c>
      <c r="R95" s="33" t="str">
        <f t="shared" si="1"/>
        <v>ddhh</v>
      </c>
      <c r="S95" s="34" t="str">
        <f>IFERROR(__xludf.DUMMYFUNCTION("IF(query(Data!A:M,CONCATENATE(""select Col13 where Col1 = '"",C95,""' and Col8 = 'Bias and Unfair Discrimination'""),0)&gt;70,1,0)"),"#REF!")</f>
        <v>#REF!</v>
      </c>
      <c r="T95" s="34" t="str">
        <f>IFERROR(__xludf.DUMMYFUNCTION("IF(query(Data!A:M,CONCATENATE(""select Col13 where Col1 = '"",C95,""' and Col8 = 'Childrens Rights'""),0)&gt;70,1,0)"),"#REF!")</f>
        <v>#REF!</v>
      </c>
      <c r="U95" s="34" t="str">
        <f>IFERROR(__xludf.DUMMYFUNCTION("IF(query(Data!A:M,CONCATENATE(""select Col13 where Col1 = '"",C95,""' and Col8 = 'Cultural and Linguistic Diversity'""),0)&gt;70,1,0)"),"#REF!")</f>
        <v>#REF!</v>
      </c>
      <c r="V95" s="34" t="str">
        <f>IFERROR(__xludf.DUMMYFUNCTION("IF(query(Data!A:M,CONCATENATE(""select Col13 where Col1 = '"",C95,""' and Col8 = 'Data Protection and Privacy'""),0)&gt;70,1,0)"),"#REF!")</f>
        <v>#REF!</v>
      </c>
      <c r="W95" s="34" t="str">
        <f>IFERROR(__xludf.DUMMYFUNCTION("IF(query(Data!A:M,CONCATENATE(""select Col13 where Col1 = '"",C95,""' and Col8 = 'Gender Equality'""),0)&gt;70,1,0)"),"#REF!")</f>
        <v>#REF!</v>
      </c>
      <c r="X95" s="34" t="str">
        <f>IFERROR(__xludf.DUMMYFUNCTION("IF(query(Data!A:M,CONCATENATE(""select Col13 where Col1 = '"",C95,""' and Col8 = 'Human Oversight and Determination'""),0)&gt;70,1,0)"),"#REF!")</f>
        <v>#REF!</v>
      </c>
      <c r="Y95" s="34" t="str">
        <f>IFERROR(__xludf.DUMMYFUNCTION("IF(query(Data!A:M,CONCATENATE(""select Col13 where Col1 = '"",C95,""' and Col8 = 'Labour Protection and Right to Work'""),0)&gt;70,1,0)"),"#REF!")</f>
        <v>#REF!</v>
      </c>
      <c r="Z95" s="34" t="str">
        <f>IFERROR(__xludf.DUMMYFUNCTION("IF(query(Data!A:M,CONCATENATE(""select Col13 where Col1 = '"",C95,""' and Col8 = 'Safety, Accuracy and Reliability'""),0)&gt;70,1,0)"),"#REF!")</f>
        <v>#REF!</v>
      </c>
      <c r="AA95" s="34" t="str">
        <f>IFERROR(__xludf.DUMMYFUNCTION("IF(query(Data!A:M,CONCATENATE(""select Col13 where Col1 = '"",C95,""' and Col8 = 'Transparency and Explainability'""),0)&gt;70,1,0)"),"#REF!")</f>
        <v>#REF!</v>
      </c>
      <c r="AB95" s="35">
        <f t="shared" si="2"/>
        <v>0</v>
      </c>
      <c r="AC95" s="35">
        <f t="shared" si="3"/>
        <v>0</v>
      </c>
      <c r="AD95" s="35">
        <f t="shared" si="4"/>
        <v>0</v>
      </c>
      <c r="AE95" s="35">
        <f t="shared" si="5"/>
        <v>0</v>
      </c>
      <c r="AF95" s="35">
        <f t="shared" si="6"/>
        <v>0</v>
      </c>
      <c r="AG95" s="35" t="str">
        <f t="shared" si="7"/>
        <v>No</v>
      </c>
      <c r="AH95" s="35" t="str">
        <f>IFERROR(__xludf.DUMMYFUNCTION("IFERROR(query(query(Data!A:BS,CONCATENATE(""select Col50, count(Col49) where Col1 = '"",C95,""' group by Col50"")), CONCATENATE(""select Col1 where Col2 = "",query(query(query(Data!A:BS,CONCATENATE(""select Col50, count(Col49) where Col1 = '"",C95,""' and"&amp;" Col50 &lt;&gt; 'Other' and Col50 is not null group by Col50"")),""select max(Col2)"",0),""Select *"",0),"" limit 1""),0))"),"")</f>
        <v/>
      </c>
      <c r="AI95" s="35" t="str">
        <f t="shared" si="8"/>
        <v/>
      </c>
      <c r="AJ95" s="35" t="str">
        <f t="shared" si="9"/>
        <v>No</v>
      </c>
      <c r="AK95" s="35" t="str">
        <f>IFERROR(__xludf.DUMMYFUNCTION("IFERROR(query(query(Data!A:BS,CONCATENATE(""select Col70, count(Col69) where Col1 = '"",C95,""' group by Col70"")), CONCATENATE(""select Col1 where Col2 = "",query(query(query(Data!A:BS,CONCATENATE(""select Col70, count(Col69) where Col1 = '"",C95,""' and"&amp;" Col70 &lt;&gt; 'Other' and Col70 is not null group by Col70"")),""select max(Col2)"",0),""Select *"",0),"" limit 1""),0))"),"")</f>
        <v/>
      </c>
      <c r="AL95" s="35" t="str">
        <f t="shared" si="10"/>
        <v/>
      </c>
      <c r="AM95" s="35"/>
      <c r="AN95" s="35"/>
      <c r="AO95" s="35"/>
      <c r="AP95" s="35"/>
      <c r="AQ95" s="35"/>
      <c r="AR95" s="35"/>
      <c r="AS95" s="35"/>
      <c r="AT95" s="35"/>
      <c r="AU95" s="35"/>
      <c r="AV95" s="35"/>
    </row>
    <row r="96">
      <c r="A96" s="25">
        <v>43.0</v>
      </c>
      <c r="B96" s="26" t="s">
        <v>312</v>
      </c>
      <c r="C96" s="27" t="s">
        <v>313</v>
      </c>
      <c r="D96" s="28" t="s">
        <v>314</v>
      </c>
      <c r="E96" s="28" t="s">
        <v>46</v>
      </c>
      <c r="F96" s="28" t="s">
        <v>85</v>
      </c>
      <c r="G96" s="28" t="s">
        <v>86</v>
      </c>
      <c r="H96" s="29">
        <v>27.33225719184206</v>
      </c>
      <c r="I96" s="30">
        <v>28.486531558789704</v>
      </c>
      <c r="J96" s="30">
        <v>33.703760543622465</v>
      </c>
      <c r="K96" s="30">
        <v>12.280701754385964</v>
      </c>
      <c r="L96" s="31">
        <v>27.86885714285714</v>
      </c>
      <c r="M96" s="31">
        <v>32.202444444444446</v>
      </c>
      <c r="N96" s="31">
        <v>11.469333333333333</v>
      </c>
      <c r="O96" s="32" t="s">
        <v>59</v>
      </c>
      <c r="P96" s="32" t="s">
        <v>59</v>
      </c>
      <c r="Q96" s="32" t="s">
        <v>59</v>
      </c>
      <c r="R96" s="33" t="str">
        <f t="shared" si="1"/>
        <v>gob</v>
      </c>
      <c r="S96" s="34" t="str">
        <f>IFERROR(__xludf.DUMMYFUNCTION("IF(query(Data!A:M,CONCATENATE(""select Col13 where Col1 = '"",C96,""' and Col8 = 'Bias and Unfair Discrimination'""),0)&gt;70,1,0)"),"#REF!")</f>
        <v>#REF!</v>
      </c>
      <c r="T96" s="34" t="str">
        <f>IFERROR(__xludf.DUMMYFUNCTION("IF(query(Data!A:M,CONCATENATE(""select Col13 where Col1 = '"",C96,""' and Col8 = 'Childrens Rights'""),0)&gt;70,1,0)"),"#REF!")</f>
        <v>#REF!</v>
      </c>
      <c r="U96" s="34" t="str">
        <f>IFERROR(__xludf.DUMMYFUNCTION("IF(query(Data!A:M,CONCATENATE(""select Col13 where Col1 = '"",C96,""' and Col8 = 'Cultural and Linguistic Diversity'""),0)&gt;70,1,0)"),"#REF!")</f>
        <v>#REF!</v>
      </c>
      <c r="V96" s="34" t="str">
        <f>IFERROR(__xludf.DUMMYFUNCTION("IF(query(Data!A:M,CONCATENATE(""select Col13 where Col1 = '"",C96,""' and Col8 = 'Data Protection and Privacy'""),0)&gt;70,1,0)"),"#REF!")</f>
        <v>#REF!</v>
      </c>
      <c r="W96" s="34" t="str">
        <f>IFERROR(__xludf.DUMMYFUNCTION("IF(query(Data!A:M,CONCATENATE(""select Col13 where Col1 = '"",C96,""' and Col8 = 'Gender Equality'""),0)&gt;70,1,0)"),"#REF!")</f>
        <v>#REF!</v>
      </c>
      <c r="X96" s="34" t="str">
        <f>IFERROR(__xludf.DUMMYFUNCTION("IF(query(Data!A:M,CONCATENATE(""select Col13 where Col1 = '"",C96,""' and Col8 = 'Human Oversight and Determination'""),0)&gt;70,1,0)"),"#REF!")</f>
        <v>#REF!</v>
      </c>
      <c r="Y96" s="34" t="str">
        <f>IFERROR(__xludf.DUMMYFUNCTION("IF(query(Data!A:M,CONCATENATE(""select Col13 where Col1 = '"",C96,""' and Col8 = 'Labour Protection and Right to Work'""),0)&gt;70,1,0)"),"#REF!")</f>
        <v>#REF!</v>
      </c>
      <c r="Z96" s="34" t="str">
        <f>IFERROR(__xludf.DUMMYFUNCTION("IF(query(Data!A:M,CONCATENATE(""select Col13 where Col1 = '"",C96,""' and Col8 = 'Safety, Accuracy and Reliability'""),0)&gt;70,1,0)"),"#REF!")</f>
        <v>#REF!</v>
      </c>
      <c r="AA96" s="34" t="str">
        <f>IFERROR(__xludf.DUMMYFUNCTION("IF(query(Data!A:M,CONCATENATE(""select Col13 where Col1 = '"",C96,""' and Col8 = 'Transparency and Explainability'""),0)&gt;70,1,0)"),"#REF!")</f>
        <v>#REF!</v>
      </c>
      <c r="AB96" s="35">
        <f t="shared" si="2"/>
        <v>0</v>
      </c>
      <c r="AC96" s="35">
        <f t="shared" si="3"/>
        <v>0</v>
      </c>
      <c r="AD96" s="35">
        <f t="shared" si="4"/>
        <v>0</v>
      </c>
      <c r="AE96" s="35">
        <f t="shared" si="5"/>
        <v>0</v>
      </c>
      <c r="AF96" s="35">
        <f t="shared" si="6"/>
        <v>0</v>
      </c>
      <c r="AG96" s="35" t="str">
        <f t="shared" si="7"/>
        <v>No</v>
      </c>
      <c r="AH96" s="35" t="str">
        <f>IFERROR(__xludf.DUMMYFUNCTION("IFERROR(query(query(Data!A:BS,CONCATENATE(""select Col50, count(Col49) where Col1 = '"",C96,""' group by Col50"")), CONCATENATE(""select Col1 where Col2 = "",query(query(query(Data!A:BS,CONCATENATE(""select Col50, count(Col49) where Col1 = '"",C96,""' and"&amp;" Col50 &lt;&gt; 'Other' and Col50 is not null group by Col50"")),""select max(Col2)"",0),""Select *"",0),"" limit 1""),0))"),"")</f>
        <v/>
      </c>
      <c r="AI96" s="35" t="str">
        <f t="shared" si="8"/>
        <v/>
      </c>
      <c r="AJ96" s="35" t="str">
        <f t="shared" si="9"/>
        <v>No</v>
      </c>
      <c r="AK96" s="35" t="str">
        <f>IFERROR(__xludf.DUMMYFUNCTION("IFERROR(query(query(Data!A:BS,CONCATENATE(""select Col70, count(Col69) where Col1 = '"",C96,""' group by Col70"")), CONCATENATE(""select Col1 where Col2 = "",query(query(query(Data!A:BS,CONCATENATE(""select Col70, count(Col69) where Col1 = '"",C96,""' and"&amp;" Col70 &lt;&gt; 'Other' and Col70 is not null group by Col70"")),""select max(Col2)"",0),""Select *"",0),"" limit 1""),0))"),"")</f>
        <v/>
      </c>
      <c r="AL96" s="35" t="str">
        <f t="shared" si="10"/>
        <v/>
      </c>
      <c r="AM96" s="35"/>
      <c r="AN96" s="35"/>
      <c r="AO96" s="35"/>
      <c r="AP96" s="35"/>
      <c r="AQ96" s="35"/>
      <c r="AR96" s="35"/>
      <c r="AS96" s="35"/>
      <c r="AT96" s="35"/>
      <c r="AU96" s="35"/>
      <c r="AV96" s="35"/>
    </row>
    <row r="97">
      <c r="A97" s="25">
        <v>66.0</v>
      </c>
      <c r="B97" s="26" t="s">
        <v>315</v>
      </c>
      <c r="C97" s="27" t="s">
        <v>316</v>
      </c>
      <c r="D97" s="28" t="s">
        <v>317</v>
      </c>
      <c r="E97" s="28" t="s">
        <v>69</v>
      </c>
      <c r="F97" s="28" t="s">
        <v>47</v>
      </c>
      <c r="G97" s="28" t="s">
        <v>70</v>
      </c>
      <c r="H97" s="29">
        <v>14.79968366120991</v>
      </c>
      <c r="I97" s="30">
        <v>23.535253926327353</v>
      </c>
      <c r="J97" s="30">
        <v>13.032211805644788</v>
      </c>
      <c r="K97" s="30">
        <v>0.8634868421052629</v>
      </c>
      <c r="L97" s="31">
        <v>13.847428571428571</v>
      </c>
      <c r="M97" s="31">
        <v>15.119555555555555</v>
      </c>
      <c r="N97" s="31">
        <v>16.061333333333334</v>
      </c>
      <c r="O97" s="32" t="s">
        <v>54</v>
      </c>
      <c r="P97" s="32" t="s">
        <v>54</v>
      </c>
      <c r="Q97" s="32" t="s">
        <v>76</v>
      </c>
      <c r="R97" s="33" t="str">
        <f t="shared" si="1"/>
        <v>cap</v>
      </c>
      <c r="S97" s="34" t="str">
        <f>IFERROR(__xludf.DUMMYFUNCTION("IF(query(Data!A:M,CONCATENATE(""select Col13 where Col1 = '"",C97,""' and Col8 = 'Bias and Unfair Discrimination'""),0)&gt;70,1,0)"),"#REF!")</f>
        <v>#REF!</v>
      </c>
      <c r="T97" s="34" t="str">
        <f>IFERROR(__xludf.DUMMYFUNCTION("IF(query(Data!A:M,CONCATENATE(""select Col13 where Col1 = '"",C97,""' and Col8 = 'Childrens Rights'""),0)&gt;70,1,0)"),"#REF!")</f>
        <v>#REF!</v>
      </c>
      <c r="U97" s="34" t="str">
        <f>IFERROR(__xludf.DUMMYFUNCTION("IF(query(Data!A:M,CONCATENATE(""select Col13 where Col1 = '"",C97,""' and Col8 = 'Cultural and Linguistic Diversity'""),0)&gt;70,1,0)"),"#REF!")</f>
        <v>#REF!</v>
      </c>
      <c r="V97" s="34" t="str">
        <f>IFERROR(__xludf.DUMMYFUNCTION("IF(query(Data!A:M,CONCATENATE(""select Col13 where Col1 = '"",C97,""' and Col8 = 'Data Protection and Privacy'""),0)&gt;70,1,0)"),"#REF!")</f>
        <v>#REF!</v>
      </c>
      <c r="W97" s="34" t="str">
        <f>IFERROR(__xludf.DUMMYFUNCTION("IF(query(Data!A:M,CONCATENATE(""select Col13 where Col1 = '"",C97,""' and Col8 = 'Gender Equality'""),0)&gt;70,1,0)"),"#REF!")</f>
        <v>#REF!</v>
      </c>
      <c r="X97" s="34" t="str">
        <f>IFERROR(__xludf.DUMMYFUNCTION("IF(query(Data!A:M,CONCATENATE(""select Col13 where Col1 = '"",C97,""' and Col8 = 'Human Oversight and Determination'""),0)&gt;70,1,0)"),"#REF!")</f>
        <v>#REF!</v>
      </c>
      <c r="Y97" s="34" t="str">
        <f>IFERROR(__xludf.DUMMYFUNCTION("IF(query(Data!A:M,CONCATENATE(""select Col13 where Col1 = '"",C97,""' and Col8 = 'Labour Protection and Right to Work'""),0)&gt;70,1,0)"),"#REF!")</f>
        <v>#REF!</v>
      </c>
      <c r="Z97" s="34" t="str">
        <f>IFERROR(__xludf.DUMMYFUNCTION("IF(query(Data!A:M,CONCATENATE(""select Col13 where Col1 = '"",C97,""' and Col8 = 'Safety, Accuracy and Reliability'""),0)&gt;70,1,0)"),"#REF!")</f>
        <v>#REF!</v>
      </c>
      <c r="AA97" s="34" t="str">
        <f>IFERROR(__xludf.DUMMYFUNCTION("IF(query(Data!A:M,CONCATENATE(""select Col13 where Col1 = '"",C97,""' and Col8 = 'Transparency and Explainability'""),0)&gt;70,1,0)"),"#REF!")</f>
        <v>#REF!</v>
      </c>
      <c r="AB97" s="35">
        <f t="shared" si="2"/>
        <v>0</v>
      </c>
      <c r="AC97" s="35">
        <f t="shared" si="3"/>
        <v>0</v>
      </c>
      <c r="AD97" s="35">
        <f t="shared" si="4"/>
        <v>0</v>
      </c>
      <c r="AE97" s="35">
        <f t="shared" si="5"/>
        <v>0</v>
      </c>
      <c r="AF97" s="35">
        <f t="shared" si="6"/>
        <v>0</v>
      </c>
      <c r="AG97" s="35" t="str">
        <f t="shared" si="7"/>
        <v>No</v>
      </c>
      <c r="AH97" s="35" t="str">
        <f>IFERROR(__xludf.DUMMYFUNCTION("IFERROR(query(query(Data!A:BS,CONCATENATE(""select Col50, count(Col49) where Col1 = '"",C97,""' group by Col50"")), CONCATENATE(""select Col1 where Col2 = "",query(query(query(Data!A:BS,CONCATENATE(""select Col50, count(Col49) where Col1 = '"",C97,""' and"&amp;" Col50 &lt;&gt; 'Other' and Col50 is not null group by Col50"")),""select max(Col2)"",0),""Select *"",0),"" limit 1""),0))"),"")</f>
        <v/>
      </c>
      <c r="AI97" s="35" t="str">
        <f t="shared" si="8"/>
        <v/>
      </c>
      <c r="AJ97" s="35" t="str">
        <f t="shared" si="9"/>
        <v>No</v>
      </c>
      <c r="AK97" s="35" t="str">
        <f>IFERROR(__xludf.DUMMYFUNCTION("IFERROR(query(query(Data!A:BS,CONCATENATE(""select Col70, count(Col69) where Col1 = '"",C97,""' group by Col70"")), CONCATENATE(""select Col1 where Col2 = "",query(query(query(Data!A:BS,CONCATENATE(""select Col70, count(Col69) where Col1 = '"",C97,""' and"&amp;" Col70 &lt;&gt; 'Other' and Col70 is not null group by Col70"")),""select max(Col2)"",0),""Select *"",0),"" limit 1""),0))"),"")</f>
        <v/>
      </c>
      <c r="AL97" s="35" t="str">
        <f t="shared" si="10"/>
        <v/>
      </c>
      <c r="AM97" s="35"/>
      <c r="AN97" s="35"/>
      <c r="AO97" s="35"/>
      <c r="AP97" s="35"/>
      <c r="AQ97" s="35"/>
      <c r="AR97" s="35"/>
      <c r="AS97" s="35"/>
      <c r="AT97" s="35"/>
      <c r="AU97" s="35"/>
      <c r="AV97" s="35"/>
    </row>
    <row r="98">
      <c r="A98" s="25">
        <v>1.0</v>
      </c>
      <c r="B98" s="26" t="s">
        <v>318</v>
      </c>
      <c r="C98" s="27" t="s">
        <v>319</v>
      </c>
      <c r="D98" s="28" t="s">
        <v>320</v>
      </c>
      <c r="E98" s="28" t="s">
        <v>52</v>
      </c>
      <c r="F98" s="28" t="s">
        <v>52</v>
      </c>
      <c r="G98" s="28" t="s">
        <v>58</v>
      </c>
      <c r="H98" s="29">
        <v>86.16041854925322</v>
      </c>
      <c r="I98" s="30">
        <v>74.32555382711844</v>
      </c>
      <c r="J98" s="30">
        <v>95.46145745829533</v>
      </c>
      <c r="K98" s="30">
        <v>91.22807017543859</v>
      </c>
      <c r="L98" s="31">
        <v>78.74414285714286</v>
      </c>
      <c r="M98" s="31">
        <v>91.11911111111112</v>
      </c>
      <c r="N98" s="31">
        <v>88.58766666666666</v>
      </c>
      <c r="O98" s="32" t="s">
        <v>59</v>
      </c>
      <c r="P98" s="32" t="s">
        <v>59</v>
      </c>
      <c r="Q98" s="32" t="s">
        <v>59</v>
      </c>
      <c r="R98" s="33" t="str">
        <f t="shared" si="1"/>
        <v>gob</v>
      </c>
      <c r="S98" s="34" t="str">
        <f>IFERROR(__xludf.DUMMYFUNCTION("IF(query(Data!A:M,CONCATENATE(""select Col13 where Col1 = '"",C98,""' and Col8 = 'Bias and Unfair Discrimination'""),0)&gt;70,1,0)"),"#REF!")</f>
        <v>#REF!</v>
      </c>
      <c r="T98" s="34" t="str">
        <f>IFERROR(__xludf.DUMMYFUNCTION("IF(query(Data!A:M,CONCATENATE(""select Col13 where Col1 = '"",C98,""' and Col8 = 'Childrens Rights'""),0)&gt;70,1,0)"),"#REF!")</f>
        <v>#REF!</v>
      </c>
      <c r="U98" s="34" t="str">
        <f>IFERROR(__xludf.DUMMYFUNCTION("IF(query(Data!A:M,CONCATENATE(""select Col13 where Col1 = '"",C98,""' and Col8 = 'Cultural and Linguistic Diversity'""),0)&gt;70,1,0)"),"#REF!")</f>
        <v>#REF!</v>
      </c>
      <c r="V98" s="34" t="str">
        <f>IFERROR(__xludf.DUMMYFUNCTION("IF(query(Data!A:M,CONCATENATE(""select Col13 where Col1 = '"",C98,""' and Col8 = 'Data Protection and Privacy'""),0)&gt;70,1,0)"),"#REF!")</f>
        <v>#REF!</v>
      </c>
      <c r="W98" s="34" t="str">
        <f>IFERROR(__xludf.DUMMYFUNCTION("IF(query(Data!A:M,CONCATENATE(""select Col13 where Col1 = '"",C98,""' and Col8 = 'Gender Equality'""),0)&gt;70,1,0)"),"#REF!")</f>
        <v>#REF!</v>
      </c>
      <c r="X98" s="34" t="str">
        <f>IFERROR(__xludf.DUMMYFUNCTION("IF(query(Data!A:M,CONCATENATE(""select Col13 where Col1 = '"",C98,""' and Col8 = 'Human Oversight and Determination'""),0)&gt;70,1,0)"),"#REF!")</f>
        <v>#REF!</v>
      </c>
      <c r="Y98" s="34" t="str">
        <f>IFERROR(__xludf.DUMMYFUNCTION("IF(query(Data!A:M,CONCATENATE(""select Col13 where Col1 = '"",C98,""' and Col8 = 'Labour Protection and Right to Work'""),0)&gt;70,1,0)"),"#REF!")</f>
        <v>#REF!</v>
      </c>
      <c r="Z98" s="34" t="str">
        <f>IFERROR(__xludf.DUMMYFUNCTION("IF(query(Data!A:M,CONCATENATE(""select Col13 where Col1 = '"",C98,""' and Col8 = 'Safety, Accuracy and Reliability'""),0)&gt;70,1,0)"),"#REF!")</f>
        <v>#REF!</v>
      </c>
      <c r="AA98" s="34" t="str">
        <f>IFERROR(__xludf.DUMMYFUNCTION("IF(query(Data!A:M,CONCATENATE(""select Col13 where Col1 = '"",C98,""' and Col8 = 'Transparency and Explainability'""),0)&gt;70,1,0)"),"#REF!")</f>
        <v>#REF!</v>
      </c>
      <c r="AB98" s="35">
        <f t="shared" si="2"/>
        <v>0</v>
      </c>
      <c r="AC98" s="35">
        <f t="shared" si="3"/>
        <v>0</v>
      </c>
      <c r="AD98" s="35">
        <f t="shared" si="4"/>
        <v>0</v>
      </c>
      <c r="AE98" s="35">
        <f t="shared" si="5"/>
        <v>0</v>
      </c>
      <c r="AF98" s="35">
        <f t="shared" si="6"/>
        <v>0</v>
      </c>
      <c r="AG98" s="35" t="str">
        <f t="shared" si="7"/>
        <v>No</v>
      </c>
      <c r="AH98" s="35" t="str">
        <f>IFERROR(__xludf.DUMMYFUNCTION("IFERROR(query(query(Data!A:BS,CONCATENATE(""select Col50, count(Col49) where Col1 = '"",C98,""' group by Col50"")), CONCATENATE(""select Col1 where Col2 = "",query(query(query(Data!A:BS,CONCATENATE(""select Col50, count(Col49) where Col1 = '"",C98,""' and"&amp;" Col50 &lt;&gt; 'Other' and Col50 is not null group by Col50"")),""select max(Col2)"",0),""Select *"",0),"" limit 1""),0))"),"")</f>
        <v/>
      </c>
      <c r="AI98" s="35" t="str">
        <f t="shared" si="8"/>
        <v/>
      </c>
      <c r="AJ98" s="35" t="str">
        <f t="shared" si="9"/>
        <v>No</v>
      </c>
      <c r="AK98" s="35" t="str">
        <f>IFERROR(__xludf.DUMMYFUNCTION("IFERROR(query(query(Data!A:BS,CONCATENATE(""select Col70, count(Col69) where Col1 = '"",C98,""' group by Col70"")), CONCATENATE(""select Col1 where Col2 = "",query(query(query(Data!A:BS,CONCATENATE(""select Col70, count(Col69) where Col1 = '"",C98,""' and"&amp;" Col70 &lt;&gt; 'Other' and Col70 is not null group by Col70"")),""select max(Col2)"",0),""Select *"",0),"" limit 1""),0))"),"")</f>
        <v/>
      </c>
      <c r="AL98" s="35" t="str">
        <f t="shared" si="10"/>
        <v/>
      </c>
      <c r="AM98" s="35"/>
      <c r="AN98" s="35"/>
      <c r="AO98" s="35"/>
      <c r="AP98" s="35"/>
      <c r="AQ98" s="35"/>
      <c r="AR98" s="35"/>
      <c r="AS98" s="35"/>
      <c r="AT98" s="35"/>
      <c r="AU98" s="35"/>
      <c r="AV98" s="35"/>
    </row>
    <row r="99">
      <c r="A99" s="25">
        <v>68.0</v>
      </c>
      <c r="B99" s="26" t="s">
        <v>321</v>
      </c>
      <c r="C99" s="27" t="s">
        <v>322</v>
      </c>
      <c r="D99" s="28" t="s">
        <v>323</v>
      </c>
      <c r="E99" s="28" t="s">
        <v>46</v>
      </c>
      <c r="F99" s="28" t="s">
        <v>47</v>
      </c>
      <c r="G99" s="28" t="s">
        <v>48</v>
      </c>
      <c r="H99" s="29">
        <v>13.192465290772287</v>
      </c>
      <c r="I99" s="30">
        <v>2.2095332522141304</v>
      </c>
      <c r="J99" s="30">
        <v>23.164722079979743</v>
      </c>
      <c r="K99" s="30">
        <v>15.213815789473685</v>
      </c>
      <c r="L99" s="31">
        <v>16.00557142857143</v>
      </c>
      <c r="M99" s="31">
        <v>10.791</v>
      </c>
      <c r="N99" s="31">
        <v>13.832</v>
      </c>
      <c r="O99" s="32" t="s">
        <v>76</v>
      </c>
      <c r="P99" s="32" t="s">
        <v>76</v>
      </c>
      <c r="Q99" s="32" t="s">
        <v>80</v>
      </c>
      <c r="R99" s="33" t="str">
        <f t="shared" si="1"/>
        <v>ddhh</v>
      </c>
      <c r="S99" s="34" t="str">
        <f>IFERROR(__xludf.DUMMYFUNCTION("IF(query(Data!A:M,CONCATENATE(""select Col13 where Col1 = '"",C99,""' and Col8 = 'Bias and Unfair Discrimination'""),0)&gt;70,1,0)"),"#REF!")</f>
        <v>#REF!</v>
      </c>
      <c r="T99" s="34" t="str">
        <f>IFERROR(__xludf.DUMMYFUNCTION("IF(query(Data!A:M,CONCATENATE(""select Col13 where Col1 = '"",C99,""' and Col8 = 'Childrens Rights'""),0)&gt;70,1,0)"),"#REF!")</f>
        <v>#REF!</v>
      </c>
      <c r="U99" s="34" t="str">
        <f>IFERROR(__xludf.DUMMYFUNCTION("IF(query(Data!A:M,CONCATENATE(""select Col13 where Col1 = '"",C99,""' and Col8 = 'Cultural and Linguistic Diversity'""),0)&gt;70,1,0)"),"#REF!")</f>
        <v>#REF!</v>
      </c>
      <c r="V99" s="34" t="str">
        <f>IFERROR(__xludf.DUMMYFUNCTION("IF(query(Data!A:M,CONCATENATE(""select Col13 where Col1 = '"",C99,""' and Col8 = 'Data Protection and Privacy'""),0)&gt;70,1,0)"),"#REF!")</f>
        <v>#REF!</v>
      </c>
      <c r="W99" s="34" t="str">
        <f>IFERROR(__xludf.DUMMYFUNCTION("IF(query(Data!A:M,CONCATENATE(""select Col13 where Col1 = '"",C99,""' and Col8 = 'Gender Equality'""),0)&gt;70,1,0)"),"#REF!")</f>
        <v>#REF!</v>
      </c>
      <c r="X99" s="34" t="str">
        <f>IFERROR(__xludf.DUMMYFUNCTION("IF(query(Data!A:M,CONCATENATE(""select Col13 where Col1 = '"",C99,""' and Col8 = 'Human Oversight and Determination'""),0)&gt;70,1,0)"),"#REF!")</f>
        <v>#REF!</v>
      </c>
      <c r="Y99" s="34" t="str">
        <f>IFERROR(__xludf.DUMMYFUNCTION("IF(query(Data!A:M,CONCATENATE(""select Col13 where Col1 = '"",C99,""' and Col8 = 'Labour Protection and Right to Work'""),0)&gt;70,1,0)"),"#REF!")</f>
        <v>#REF!</v>
      </c>
      <c r="Z99" s="34" t="str">
        <f>IFERROR(__xludf.DUMMYFUNCTION("IF(query(Data!A:M,CONCATENATE(""select Col13 where Col1 = '"",C99,""' and Col8 = 'Safety, Accuracy and Reliability'""),0)&gt;70,1,0)"),"#REF!")</f>
        <v>#REF!</v>
      </c>
      <c r="AA99" s="34" t="str">
        <f>IFERROR(__xludf.DUMMYFUNCTION("IF(query(Data!A:M,CONCATENATE(""select Col13 where Col1 = '"",C99,""' and Col8 = 'Transparency and Explainability'""),0)&gt;70,1,0)"),"#REF!")</f>
        <v>#REF!</v>
      </c>
      <c r="AB99" s="35">
        <f t="shared" si="2"/>
        <v>0</v>
      </c>
      <c r="AC99" s="35">
        <f t="shared" si="3"/>
        <v>0</v>
      </c>
      <c r="AD99" s="35">
        <f t="shared" si="4"/>
        <v>0</v>
      </c>
      <c r="AE99" s="35">
        <f t="shared" si="5"/>
        <v>0</v>
      </c>
      <c r="AF99" s="35">
        <f t="shared" si="6"/>
        <v>0</v>
      </c>
      <c r="AG99" s="35" t="str">
        <f t="shared" si="7"/>
        <v>No</v>
      </c>
      <c r="AH99" s="35" t="str">
        <f>IFERROR(__xludf.DUMMYFUNCTION("IFERROR(query(query(Data!A:BS,CONCATENATE(""select Col50, count(Col49) where Col1 = '"",C99,""' group by Col50"")), CONCATENATE(""select Col1 where Col2 = "",query(query(query(Data!A:BS,CONCATENATE(""select Col50, count(Col49) where Col1 = '"",C99,""' and"&amp;" Col50 &lt;&gt; 'Other' and Col50 is not null group by Col50"")),""select max(Col2)"",0),""Select *"",0),"" limit 1""),0))"),"")</f>
        <v/>
      </c>
      <c r="AI99" s="35" t="str">
        <f t="shared" si="8"/>
        <v/>
      </c>
      <c r="AJ99" s="35" t="str">
        <f t="shared" si="9"/>
        <v>No</v>
      </c>
      <c r="AK99" s="35" t="str">
        <f>IFERROR(__xludf.DUMMYFUNCTION("IFERROR(query(query(Data!A:BS,CONCATENATE(""select Col70, count(Col69) where Col1 = '"",C99,""' group by Col70"")), CONCATENATE(""select Col1 where Col2 = "",query(query(query(Data!A:BS,CONCATENATE(""select Col70, count(Col69) where Col1 = '"",C99,""' and"&amp;" Col70 &lt;&gt; 'Other' and Col70 is not null group by Col70"")),""select max(Col2)"",0),""Select *"",0),"" limit 1""),0))"),"")</f>
        <v/>
      </c>
      <c r="AL99" s="35" t="str">
        <f t="shared" si="10"/>
        <v/>
      </c>
      <c r="AM99" s="35"/>
      <c r="AN99" s="35"/>
      <c r="AO99" s="35"/>
      <c r="AP99" s="35"/>
      <c r="AQ99" s="35"/>
      <c r="AR99" s="35"/>
      <c r="AS99" s="35"/>
      <c r="AT99" s="35"/>
      <c r="AU99" s="35"/>
      <c r="AV99" s="35"/>
    </row>
    <row r="100">
      <c r="A100" s="25">
        <v>46.0</v>
      </c>
      <c r="B100" s="26" t="s">
        <v>324</v>
      </c>
      <c r="C100" s="27" t="s">
        <v>325</v>
      </c>
      <c r="D100" s="28" t="s">
        <v>326</v>
      </c>
      <c r="E100" s="28" t="s">
        <v>69</v>
      </c>
      <c r="F100" s="28" t="s">
        <v>47</v>
      </c>
      <c r="G100" s="28" t="s">
        <v>70</v>
      </c>
      <c r="H100" s="29">
        <v>26.382018525213528</v>
      </c>
      <c r="I100" s="30">
        <v>17.371110479036965</v>
      </c>
      <c r="J100" s="30">
        <v>44.06090951820738</v>
      </c>
      <c r="K100" s="30">
        <v>9.046052631578945</v>
      </c>
      <c r="L100" s="31">
        <v>22.23328571428571</v>
      </c>
      <c r="M100" s="31">
        <v>28.538555555555554</v>
      </c>
      <c r="N100" s="31">
        <v>29.593666666666667</v>
      </c>
      <c r="O100" s="32" t="s">
        <v>54</v>
      </c>
      <c r="P100" s="32" t="s">
        <v>54</v>
      </c>
      <c r="Q100" s="32" t="s">
        <v>80</v>
      </c>
      <c r="R100" s="33" t="str">
        <f t="shared" si="1"/>
        <v>cap</v>
      </c>
      <c r="S100" s="34" t="str">
        <f>IFERROR(__xludf.DUMMYFUNCTION("IF(query(Data!A:M,CONCATENATE(""select Col13 where Col1 = '"",C100,""' and Col8 = 'Bias and Unfair Discrimination'""),0)&gt;70,1,0)"),"#REF!")</f>
        <v>#REF!</v>
      </c>
      <c r="T100" s="34" t="str">
        <f>IFERROR(__xludf.DUMMYFUNCTION("IF(query(Data!A:M,CONCATENATE(""select Col13 where Col1 = '"",C100,""' and Col8 = 'Childrens Rights'""),0)&gt;70,1,0)"),"#REF!")</f>
        <v>#REF!</v>
      </c>
      <c r="U100" s="34" t="str">
        <f>IFERROR(__xludf.DUMMYFUNCTION("IF(query(Data!A:M,CONCATENATE(""select Col13 where Col1 = '"",C100,""' and Col8 = 'Cultural and Linguistic Diversity'""),0)&gt;70,1,0)"),"#REF!")</f>
        <v>#REF!</v>
      </c>
      <c r="V100" s="34" t="str">
        <f>IFERROR(__xludf.DUMMYFUNCTION("IF(query(Data!A:M,CONCATENATE(""select Col13 where Col1 = '"",C100,""' and Col8 = 'Data Protection and Privacy'""),0)&gt;70,1,0)"),"#REF!")</f>
        <v>#REF!</v>
      </c>
      <c r="W100" s="34" t="str">
        <f>IFERROR(__xludf.DUMMYFUNCTION("IF(query(Data!A:M,CONCATENATE(""select Col13 where Col1 = '"",C100,""' and Col8 = 'Gender Equality'""),0)&gt;70,1,0)"),"#REF!")</f>
        <v>#REF!</v>
      </c>
      <c r="X100" s="34" t="str">
        <f>IFERROR(__xludf.DUMMYFUNCTION("IF(query(Data!A:M,CONCATENATE(""select Col13 where Col1 = '"",C100,""' and Col8 = 'Human Oversight and Determination'""),0)&gt;70,1,0)"),"#REF!")</f>
        <v>#REF!</v>
      </c>
      <c r="Y100" s="34" t="str">
        <f>IFERROR(__xludf.DUMMYFUNCTION("IF(query(Data!A:M,CONCATENATE(""select Col13 where Col1 = '"",C100,""' and Col8 = 'Labour Protection and Right to Work'""),0)&gt;70,1,0)"),"#REF!")</f>
        <v>#REF!</v>
      </c>
      <c r="Z100" s="34" t="str">
        <f>IFERROR(__xludf.DUMMYFUNCTION("IF(query(Data!A:M,CONCATENATE(""select Col13 where Col1 = '"",C100,""' and Col8 = 'Safety, Accuracy and Reliability'""),0)&gt;70,1,0)"),"#REF!")</f>
        <v>#REF!</v>
      </c>
      <c r="AA100" s="34" t="str">
        <f>IFERROR(__xludf.DUMMYFUNCTION("IF(query(Data!A:M,CONCATENATE(""select Col13 where Col1 = '"",C100,""' and Col8 = 'Transparency and Explainability'""),0)&gt;70,1,0)"),"#REF!")</f>
        <v>#REF!</v>
      </c>
      <c r="AB100" s="35">
        <f t="shared" si="2"/>
        <v>0</v>
      </c>
      <c r="AC100" s="35">
        <f t="shared" si="3"/>
        <v>0</v>
      </c>
      <c r="AD100" s="35">
        <f t="shared" si="4"/>
        <v>0</v>
      </c>
      <c r="AE100" s="35">
        <f t="shared" si="5"/>
        <v>0</v>
      </c>
      <c r="AF100" s="35">
        <f t="shared" si="6"/>
        <v>0</v>
      </c>
      <c r="AG100" s="35" t="str">
        <f t="shared" si="7"/>
        <v>No</v>
      </c>
      <c r="AH100" s="35" t="str">
        <f>IFERROR(__xludf.DUMMYFUNCTION("IFERROR(query(query(Data!A:BS,CONCATENATE(""select Col50, count(Col49) where Col1 = '"",C100,""' group by Col50"")), CONCATENATE(""select Col1 where Col2 = "",query(query(query(Data!A:BS,CONCATENATE(""select Col50, count(Col49) where Col1 = '"",C100,""' a"&amp;"nd Col50 &lt;&gt; 'Other' and Col50 is not null group by Col50"")),""select max(Col2)"",0),""Select *"",0),"" limit 1""),0))"),"")</f>
        <v/>
      </c>
      <c r="AI100" s="35" t="str">
        <f t="shared" si="8"/>
        <v/>
      </c>
      <c r="AJ100" s="35" t="str">
        <f t="shared" si="9"/>
        <v>No</v>
      </c>
      <c r="AK100" s="35" t="str">
        <f>IFERROR(__xludf.DUMMYFUNCTION("IFERROR(query(query(Data!A:BS,CONCATENATE(""select Col70, count(Col69) where Col1 = '"",C100,""' group by Col70"")), CONCATENATE(""select Col1 where Col2 = "",query(query(query(Data!A:BS,CONCATENATE(""select Col70, count(Col69) where Col1 = '"",C100,""' a"&amp;"nd Col70 &lt;&gt; 'Other' and Col70 is not null group by Col70"")),""select max(Col2)"",0),""Select *"",0),"" limit 1""),0))"),"")</f>
        <v/>
      </c>
      <c r="AL100" s="35" t="str">
        <f t="shared" si="10"/>
        <v/>
      </c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</row>
    <row r="101">
      <c r="A101" s="25">
        <v>75.0</v>
      </c>
      <c r="B101" s="26" t="s">
        <v>327</v>
      </c>
      <c r="C101" s="27" t="s">
        <v>328</v>
      </c>
      <c r="D101" s="28" t="s">
        <v>329</v>
      </c>
      <c r="E101" s="28" t="s">
        <v>79</v>
      </c>
      <c r="F101" s="28" t="s">
        <v>64</v>
      </c>
      <c r="G101" s="28" t="s">
        <v>65</v>
      </c>
      <c r="H101" s="29">
        <v>9.142512829094601</v>
      </c>
      <c r="I101" s="30">
        <v>0.0</v>
      </c>
      <c r="J101" s="30">
        <v>22.027060581508433</v>
      </c>
      <c r="K101" s="30">
        <v>1.65844298245614</v>
      </c>
      <c r="L101" s="31">
        <v>9.197999999999999</v>
      </c>
      <c r="M101" s="31">
        <v>7.154</v>
      </c>
      <c r="N101" s="31">
        <v>14.978</v>
      </c>
      <c r="O101" s="32" t="s">
        <v>54</v>
      </c>
      <c r="P101" s="32" t="s">
        <v>80</v>
      </c>
      <c r="Q101" s="32" t="s">
        <v>59</v>
      </c>
      <c r="R101" s="33" t="str">
        <f t="shared" si="1"/>
        <v>cap</v>
      </c>
      <c r="S101" s="34" t="str">
        <f>IFERROR(__xludf.DUMMYFUNCTION("IF(query(Data!A:M,CONCATENATE(""select Col13 where Col1 = '"",C101,""' and Col8 = 'Bias and Unfair Discrimination'""),0)&gt;70,1,0)"),"#REF!")</f>
        <v>#REF!</v>
      </c>
      <c r="T101" s="34" t="str">
        <f>IFERROR(__xludf.DUMMYFUNCTION("IF(query(Data!A:M,CONCATENATE(""select Col13 where Col1 = '"",C101,""' and Col8 = 'Childrens Rights'""),0)&gt;70,1,0)"),"#REF!")</f>
        <v>#REF!</v>
      </c>
      <c r="U101" s="34" t="str">
        <f>IFERROR(__xludf.DUMMYFUNCTION("IF(query(Data!A:M,CONCATENATE(""select Col13 where Col1 = '"",C101,""' and Col8 = 'Cultural and Linguistic Diversity'""),0)&gt;70,1,0)"),"#REF!")</f>
        <v>#REF!</v>
      </c>
      <c r="V101" s="34" t="str">
        <f>IFERROR(__xludf.DUMMYFUNCTION("IF(query(Data!A:M,CONCATENATE(""select Col13 where Col1 = '"",C101,""' and Col8 = 'Data Protection and Privacy'""),0)&gt;70,1,0)"),"#REF!")</f>
        <v>#REF!</v>
      </c>
      <c r="W101" s="34" t="str">
        <f>IFERROR(__xludf.DUMMYFUNCTION("IF(query(Data!A:M,CONCATENATE(""select Col13 where Col1 = '"",C101,""' and Col8 = 'Gender Equality'""),0)&gt;70,1,0)"),"#REF!")</f>
        <v>#REF!</v>
      </c>
      <c r="X101" s="34" t="str">
        <f>IFERROR(__xludf.DUMMYFUNCTION("IF(query(Data!A:M,CONCATENATE(""select Col13 where Col1 = '"",C101,""' and Col8 = 'Human Oversight and Determination'""),0)&gt;70,1,0)"),"#REF!")</f>
        <v>#REF!</v>
      </c>
      <c r="Y101" s="34" t="str">
        <f>IFERROR(__xludf.DUMMYFUNCTION("IF(query(Data!A:M,CONCATENATE(""select Col13 where Col1 = '"",C101,""' and Col8 = 'Labour Protection and Right to Work'""),0)&gt;70,1,0)"),"#REF!")</f>
        <v>#REF!</v>
      </c>
      <c r="Z101" s="34" t="str">
        <f>IFERROR(__xludf.DUMMYFUNCTION("IF(query(Data!A:M,CONCATENATE(""select Col13 where Col1 = '"",C101,""' and Col8 = 'Safety, Accuracy and Reliability'""),0)&gt;70,1,0)"),"#REF!")</f>
        <v>#REF!</v>
      </c>
      <c r="AA101" s="34" t="str">
        <f>IFERROR(__xludf.DUMMYFUNCTION("IF(query(Data!A:M,CONCATENATE(""select Col13 where Col1 = '"",C101,""' and Col8 = 'Transparency and Explainability'""),0)&gt;70,1,0)"),"#REF!")</f>
        <v>#REF!</v>
      </c>
      <c r="AB101" s="35">
        <f t="shared" si="2"/>
        <v>0</v>
      </c>
      <c r="AC101" s="35">
        <f t="shared" si="3"/>
        <v>0</v>
      </c>
      <c r="AD101" s="35">
        <f t="shared" si="4"/>
        <v>0</v>
      </c>
      <c r="AE101" s="35">
        <f t="shared" si="5"/>
        <v>0</v>
      </c>
      <c r="AF101" s="35">
        <f t="shared" si="6"/>
        <v>0</v>
      </c>
      <c r="AG101" s="35" t="str">
        <f t="shared" si="7"/>
        <v>No</v>
      </c>
      <c r="AH101" s="35" t="str">
        <f>IFERROR(__xludf.DUMMYFUNCTION("IFERROR(query(query(Data!A:BS,CONCATENATE(""select Col50, count(Col49) where Col1 = '"",C101,""' group by Col50"")), CONCATENATE(""select Col1 where Col2 = "",query(query(query(Data!A:BS,CONCATENATE(""select Col50, count(Col49) where Col1 = '"",C101,""' a"&amp;"nd Col50 &lt;&gt; 'Other' and Col50 is not null group by Col50"")),""select max(Col2)"",0),""Select *"",0),"" limit 1""),0))"),"")</f>
        <v/>
      </c>
      <c r="AI101" s="35" t="str">
        <f t="shared" si="8"/>
        <v/>
      </c>
      <c r="AJ101" s="35" t="str">
        <f t="shared" si="9"/>
        <v>No</v>
      </c>
      <c r="AK101" s="35" t="str">
        <f>IFERROR(__xludf.DUMMYFUNCTION("IFERROR(query(query(Data!A:BS,CONCATENATE(""select Col70, count(Col69) where Col1 = '"",C101,""' group by Col70"")), CONCATENATE(""select Col1 where Col2 = "",query(query(query(Data!A:BS,CONCATENATE(""select Col70, count(Col69) where Col1 = '"",C101,""' a"&amp;"nd Col70 &lt;&gt; 'Other' and Col70 is not null group by Col70"")),""select max(Col2)"",0),""Select *"",0),"" limit 1""),0))"),"")</f>
        <v/>
      </c>
      <c r="AL101" s="35" t="str">
        <f t="shared" si="10"/>
        <v/>
      </c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</row>
    <row r="102">
      <c r="A102" s="25">
        <v>84.0</v>
      </c>
      <c r="B102" s="26" t="s">
        <v>330</v>
      </c>
      <c r="C102" s="27" t="s">
        <v>331</v>
      </c>
      <c r="D102" s="28" t="s">
        <v>331</v>
      </c>
      <c r="E102" s="28" t="s">
        <v>79</v>
      </c>
      <c r="F102" s="28" t="s">
        <v>64</v>
      </c>
      <c r="G102" s="28" t="s">
        <v>65</v>
      </c>
      <c r="H102" s="29">
        <v>6.329402534417939</v>
      </c>
      <c r="I102" s="30">
        <v>0.0</v>
      </c>
      <c r="J102" s="30">
        <v>10.34105019569397</v>
      </c>
      <c r="K102" s="30">
        <v>10.964912280701753</v>
      </c>
      <c r="L102" s="31">
        <v>6.265714285714286</v>
      </c>
      <c r="M102" s="31">
        <v>3.9868888888888887</v>
      </c>
      <c r="N102" s="31">
        <v>13.505333333333335</v>
      </c>
      <c r="O102" s="32" t="s">
        <v>80</v>
      </c>
      <c r="P102" s="32" t="s">
        <v>76</v>
      </c>
      <c r="Q102" s="32" t="s">
        <v>54</v>
      </c>
      <c r="R102" s="33" t="str">
        <f t="shared" si="1"/>
        <v>cap</v>
      </c>
      <c r="S102" s="34" t="str">
        <f>IFERROR(__xludf.DUMMYFUNCTION("IF(query(Data!A:M,CONCATENATE(""select Col13 where Col1 = '"",C102,""' and Col8 = 'Bias and Unfair Discrimination'""),0)&gt;70,1,0)"),"#REF!")</f>
        <v>#REF!</v>
      </c>
      <c r="T102" s="34" t="str">
        <f>IFERROR(__xludf.DUMMYFUNCTION("IF(query(Data!A:M,CONCATENATE(""select Col13 where Col1 = '"",C102,""' and Col8 = 'Childrens Rights'""),0)&gt;70,1,0)"),"#REF!")</f>
        <v>#REF!</v>
      </c>
      <c r="U102" s="34" t="str">
        <f>IFERROR(__xludf.DUMMYFUNCTION("IF(query(Data!A:M,CONCATENATE(""select Col13 where Col1 = '"",C102,""' and Col8 = 'Cultural and Linguistic Diversity'""),0)&gt;70,1,0)"),"#REF!")</f>
        <v>#REF!</v>
      </c>
      <c r="V102" s="34" t="str">
        <f>IFERROR(__xludf.DUMMYFUNCTION("IF(query(Data!A:M,CONCATENATE(""select Col13 where Col1 = '"",C102,""' and Col8 = 'Data Protection and Privacy'""),0)&gt;70,1,0)"),"#REF!")</f>
        <v>#REF!</v>
      </c>
      <c r="W102" s="34" t="str">
        <f>IFERROR(__xludf.DUMMYFUNCTION("IF(query(Data!A:M,CONCATENATE(""select Col13 where Col1 = '"",C102,""' and Col8 = 'Gender Equality'""),0)&gt;70,1,0)"),"#REF!")</f>
        <v>#REF!</v>
      </c>
      <c r="X102" s="34" t="str">
        <f>IFERROR(__xludf.DUMMYFUNCTION("IF(query(Data!A:M,CONCATENATE(""select Col13 where Col1 = '"",C102,""' and Col8 = 'Human Oversight and Determination'""),0)&gt;70,1,0)"),"#REF!")</f>
        <v>#REF!</v>
      </c>
      <c r="Y102" s="34" t="str">
        <f>IFERROR(__xludf.DUMMYFUNCTION("IF(query(Data!A:M,CONCATENATE(""select Col13 where Col1 = '"",C102,""' and Col8 = 'Labour Protection and Right to Work'""),0)&gt;70,1,0)"),"#REF!")</f>
        <v>#REF!</v>
      </c>
      <c r="Z102" s="34" t="str">
        <f>IFERROR(__xludf.DUMMYFUNCTION("IF(query(Data!A:M,CONCATENATE(""select Col13 where Col1 = '"",C102,""' and Col8 = 'Safety, Accuracy and Reliability'""),0)&gt;70,1,0)"),"#REF!")</f>
        <v>#REF!</v>
      </c>
      <c r="AA102" s="34" t="str">
        <f>IFERROR(__xludf.DUMMYFUNCTION("IF(query(Data!A:M,CONCATENATE(""select Col13 where Col1 = '"",C102,""' and Col8 = 'Transparency and Explainability'""),0)&gt;70,1,0)"),"#REF!")</f>
        <v>#REF!</v>
      </c>
      <c r="AB102" s="35">
        <f t="shared" si="2"/>
        <v>0</v>
      </c>
      <c r="AC102" s="35">
        <f t="shared" si="3"/>
        <v>0</v>
      </c>
      <c r="AD102" s="35">
        <f t="shared" si="4"/>
        <v>0</v>
      </c>
      <c r="AE102" s="35">
        <f t="shared" si="5"/>
        <v>0</v>
      </c>
      <c r="AF102" s="35">
        <f t="shared" si="6"/>
        <v>0</v>
      </c>
      <c r="AG102" s="35" t="str">
        <f t="shared" si="7"/>
        <v>No</v>
      </c>
      <c r="AH102" s="35" t="str">
        <f>IFERROR(__xludf.DUMMYFUNCTION("IFERROR(query(query(Data!A:BS,CONCATENATE(""select Col50, count(Col49) where Col1 = '"",C102,""' group by Col50"")), CONCATENATE(""select Col1 where Col2 = "",query(query(query(Data!A:BS,CONCATENATE(""select Col50, count(Col49) where Col1 = '"",C102,""' a"&amp;"nd Col50 &lt;&gt; 'Other' and Col50 is not null group by Col50"")),""select max(Col2)"",0),""Select *"",0),"" limit 1""),0))"),"")</f>
        <v/>
      </c>
      <c r="AI102" s="35" t="str">
        <f t="shared" si="8"/>
        <v/>
      </c>
      <c r="AJ102" s="35" t="str">
        <f t="shared" si="9"/>
        <v>No</v>
      </c>
      <c r="AK102" s="35" t="str">
        <f>IFERROR(__xludf.DUMMYFUNCTION("IFERROR(query(query(Data!A:BS,CONCATENATE(""select Col70, count(Col69) where Col1 = '"",C102,""' group by Col70"")), CONCATENATE(""select Col1 where Col2 = "",query(query(query(Data!A:BS,CONCATENATE(""select Col70, count(Col69) where Col1 = '"",C102,""' a"&amp;"nd Col70 &lt;&gt; 'Other' and Col70 is not null group by Col70"")),""select max(Col2)"",0),""Select *"",0),"" limit 1""),0))"),"")</f>
        <v/>
      </c>
      <c r="AL102" s="35" t="str">
        <f t="shared" si="10"/>
        <v/>
      </c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</row>
    <row r="103">
      <c r="A103" s="25">
        <v>61.0</v>
      </c>
      <c r="B103" s="26" t="s">
        <v>332</v>
      </c>
      <c r="C103" s="27" t="s">
        <v>333</v>
      </c>
      <c r="D103" s="28" t="s">
        <v>334</v>
      </c>
      <c r="E103" s="28" t="s">
        <v>79</v>
      </c>
      <c r="F103" s="28" t="s">
        <v>64</v>
      </c>
      <c r="G103" s="28" t="s">
        <v>65</v>
      </c>
      <c r="H103" s="29">
        <v>16.39983641641182</v>
      </c>
      <c r="I103" s="30">
        <v>12.56206532528526</v>
      </c>
      <c r="J103" s="30">
        <v>16.670804224516218</v>
      </c>
      <c r="K103" s="30">
        <v>23.533442982456133</v>
      </c>
      <c r="L103" s="31">
        <v>10.98742857142857</v>
      </c>
      <c r="M103" s="31">
        <v>18.906000000000002</v>
      </c>
      <c r="N103" s="31">
        <v>21.509666666666664</v>
      </c>
      <c r="O103" s="32" t="s">
        <v>80</v>
      </c>
      <c r="P103" s="32" t="s">
        <v>76</v>
      </c>
      <c r="Q103" s="32" t="s">
        <v>54</v>
      </c>
      <c r="R103" s="33" t="str">
        <f t="shared" si="1"/>
        <v>cap</v>
      </c>
      <c r="S103" s="34" t="str">
        <f>IFERROR(__xludf.DUMMYFUNCTION("IF(query(Data!A:M,CONCATENATE(""select Col13 where Col1 = '"",C103,""' and Col8 = 'Bias and Unfair Discrimination'""),0)&gt;70,1,0)"),"#REF!")</f>
        <v>#REF!</v>
      </c>
      <c r="T103" s="34" t="str">
        <f>IFERROR(__xludf.DUMMYFUNCTION("IF(query(Data!A:M,CONCATENATE(""select Col13 where Col1 = '"",C103,""' and Col8 = 'Childrens Rights'""),0)&gt;70,1,0)"),"#REF!")</f>
        <v>#REF!</v>
      </c>
      <c r="U103" s="34" t="str">
        <f>IFERROR(__xludf.DUMMYFUNCTION("IF(query(Data!A:M,CONCATENATE(""select Col13 where Col1 = '"",C103,""' and Col8 = 'Cultural and Linguistic Diversity'""),0)&gt;70,1,0)"),"#REF!")</f>
        <v>#REF!</v>
      </c>
      <c r="V103" s="34" t="str">
        <f>IFERROR(__xludf.DUMMYFUNCTION("IF(query(Data!A:M,CONCATENATE(""select Col13 where Col1 = '"",C103,""' and Col8 = 'Data Protection and Privacy'""),0)&gt;70,1,0)"),"#REF!")</f>
        <v>#REF!</v>
      </c>
      <c r="W103" s="34" t="str">
        <f>IFERROR(__xludf.DUMMYFUNCTION("IF(query(Data!A:M,CONCATENATE(""select Col13 where Col1 = '"",C103,""' and Col8 = 'Gender Equality'""),0)&gt;70,1,0)"),"#REF!")</f>
        <v>#REF!</v>
      </c>
      <c r="X103" s="34" t="str">
        <f>IFERROR(__xludf.DUMMYFUNCTION("IF(query(Data!A:M,CONCATENATE(""select Col13 where Col1 = '"",C103,""' and Col8 = 'Human Oversight and Determination'""),0)&gt;70,1,0)"),"#REF!")</f>
        <v>#REF!</v>
      </c>
      <c r="Y103" s="34" t="str">
        <f>IFERROR(__xludf.DUMMYFUNCTION("IF(query(Data!A:M,CONCATENATE(""select Col13 where Col1 = '"",C103,""' and Col8 = 'Labour Protection and Right to Work'""),0)&gt;70,1,0)"),"#REF!")</f>
        <v>#REF!</v>
      </c>
      <c r="Z103" s="34" t="str">
        <f>IFERROR(__xludf.DUMMYFUNCTION("IF(query(Data!A:M,CONCATENATE(""select Col13 where Col1 = '"",C103,""' and Col8 = 'Safety, Accuracy and Reliability'""),0)&gt;70,1,0)"),"#REF!")</f>
        <v>#REF!</v>
      </c>
      <c r="AA103" s="34" t="str">
        <f>IFERROR(__xludf.DUMMYFUNCTION("IF(query(Data!A:M,CONCATENATE(""select Col13 where Col1 = '"",C103,""' and Col8 = 'Transparency and Explainability'""),0)&gt;70,1,0)"),"#REF!")</f>
        <v>#REF!</v>
      </c>
      <c r="AB103" s="35">
        <f t="shared" si="2"/>
        <v>0</v>
      </c>
      <c r="AC103" s="35">
        <f t="shared" si="3"/>
        <v>0</v>
      </c>
      <c r="AD103" s="35">
        <f t="shared" si="4"/>
        <v>0</v>
      </c>
      <c r="AE103" s="35">
        <f t="shared" si="5"/>
        <v>0</v>
      </c>
      <c r="AF103" s="35">
        <f t="shared" si="6"/>
        <v>0</v>
      </c>
      <c r="AG103" s="35" t="str">
        <f t="shared" si="7"/>
        <v>No</v>
      </c>
      <c r="AH103" s="35" t="str">
        <f>IFERROR(__xludf.DUMMYFUNCTION("IFERROR(query(query(Data!A:BS,CONCATENATE(""select Col50, count(Col49) where Col1 = '"",C103,""' group by Col50"")), CONCATENATE(""select Col1 where Col2 = "",query(query(query(Data!A:BS,CONCATENATE(""select Col50, count(Col49) where Col1 = '"",C103,""' a"&amp;"nd Col50 &lt;&gt; 'Other' and Col50 is not null group by Col50"")),""select max(Col2)"",0),""Select *"",0),"" limit 1""),0))"),"")</f>
        <v/>
      </c>
      <c r="AI103" s="35" t="str">
        <f t="shared" si="8"/>
        <v/>
      </c>
      <c r="AJ103" s="35" t="str">
        <f t="shared" si="9"/>
        <v>No</v>
      </c>
      <c r="AK103" s="35" t="str">
        <f>IFERROR(__xludf.DUMMYFUNCTION("IFERROR(query(query(Data!A:BS,CONCATENATE(""select Col70, count(Col69) where Col1 = '"",C103,""' group by Col70"")), CONCATENATE(""select Col1 where Col2 = "",query(query(query(Data!A:BS,CONCATENATE(""select Col70, count(Col69) where Col1 = '"",C103,""' a"&amp;"nd Col70 &lt;&gt; 'Other' and Col70 is not null group by Col70"")),""select max(Col2)"",0),""Select *"",0),"" limit 1""),0))"),"")</f>
        <v/>
      </c>
      <c r="AL103" s="35" t="str">
        <f t="shared" si="10"/>
        <v/>
      </c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</row>
    <row r="104">
      <c r="A104" s="25">
        <v>21.0</v>
      </c>
      <c r="B104" s="26" t="s">
        <v>335</v>
      </c>
      <c r="C104" s="27" t="s">
        <v>336</v>
      </c>
      <c r="D104" s="28" t="s">
        <v>337</v>
      </c>
      <c r="E104" s="28" t="s">
        <v>52</v>
      </c>
      <c r="F104" s="28" t="s">
        <v>52</v>
      </c>
      <c r="G104" s="28" t="s">
        <v>110</v>
      </c>
      <c r="H104" s="29">
        <v>42.73217677400823</v>
      </c>
      <c r="I104" s="30">
        <v>63.49511742173579</v>
      </c>
      <c r="J104" s="30">
        <v>34.96772582907426</v>
      </c>
      <c r="K104" s="30">
        <v>16.73519736842105</v>
      </c>
      <c r="L104" s="31">
        <v>43.83</v>
      </c>
      <c r="M104" s="31">
        <v>42.07322222222223</v>
      </c>
      <c r="N104" s="31">
        <v>42.147</v>
      </c>
      <c r="O104" s="32" t="s">
        <v>54</v>
      </c>
      <c r="P104" s="32" t="s">
        <v>54</v>
      </c>
      <c r="Q104" s="32" t="s">
        <v>59</v>
      </c>
      <c r="R104" s="33" t="str">
        <f t="shared" si="1"/>
        <v>ddhh</v>
      </c>
      <c r="S104" s="34" t="str">
        <f>IFERROR(__xludf.DUMMYFUNCTION("IF(query(Data!A:M,CONCATENATE(""select Col13 where Col1 = '"",C104,""' and Col8 = 'Bias and Unfair Discrimination'""),0)&gt;70,1,0)"),"#REF!")</f>
        <v>#REF!</v>
      </c>
      <c r="T104" s="34" t="str">
        <f>IFERROR(__xludf.DUMMYFUNCTION("IF(query(Data!A:M,CONCATENATE(""select Col13 where Col1 = '"",C104,""' and Col8 = 'Childrens Rights'""),0)&gt;70,1,0)"),"#REF!")</f>
        <v>#REF!</v>
      </c>
      <c r="U104" s="34" t="str">
        <f>IFERROR(__xludf.DUMMYFUNCTION("IF(query(Data!A:M,CONCATENATE(""select Col13 where Col1 = '"",C104,""' and Col8 = 'Cultural and Linguistic Diversity'""),0)&gt;70,1,0)"),"#REF!")</f>
        <v>#REF!</v>
      </c>
      <c r="V104" s="34" t="str">
        <f>IFERROR(__xludf.DUMMYFUNCTION("IF(query(Data!A:M,CONCATENATE(""select Col13 where Col1 = '"",C104,""' and Col8 = 'Data Protection and Privacy'""),0)&gt;70,1,0)"),"#REF!")</f>
        <v>#REF!</v>
      </c>
      <c r="W104" s="34" t="str">
        <f>IFERROR(__xludf.DUMMYFUNCTION("IF(query(Data!A:M,CONCATENATE(""select Col13 where Col1 = '"",C104,""' and Col8 = 'Gender Equality'""),0)&gt;70,1,0)"),"#REF!")</f>
        <v>#REF!</v>
      </c>
      <c r="X104" s="34" t="str">
        <f>IFERROR(__xludf.DUMMYFUNCTION("IF(query(Data!A:M,CONCATENATE(""select Col13 where Col1 = '"",C104,""' and Col8 = 'Human Oversight and Determination'""),0)&gt;70,1,0)"),"#REF!")</f>
        <v>#REF!</v>
      </c>
      <c r="Y104" s="34" t="str">
        <f>IFERROR(__xludf.DUMMYFUNCTION("IF(query(Data!A:M,CONCATENATE(""select Col13 where Col1 = '"",C104,""' and Col8 = 'Labour Protection and Right to Work'""),0)&gt;70,1,0)"),"#REF!")</f>
        <v>#REF!</v>
      </c>
      <c r="Z104" s="34" t="str">
        <f>IFERROR(__xludf.DUMMYFUNCTION("IF(query(Data!A:M,CONCATENATE(""select Col13 where Col1 = '"",C104,""' and Col8 = 'Safety, Accuracy and Reliability'""),0)&gt;70,1,0)"),"#REF!")</f>
        <v>#REF!</v>
      </c>
      <c r="AA104" s="34" t="str">
        <f>IFERROR(__xludf.DUMMYFUNCTION("IF(query(Data!A:M,CONCATENATE(""select Col13 where Col1 = '"",C104,""' and Col8 = 'Transparency and Explainability'""),0)&gt;70,1,0)"),"#REF!")</f>
        <v>#REF!</v>
      </c>
      <c r="AB104" s="35">
        <f t="shared" si="2"/>
        <v>0</v>
      </c>
      <c r="AC104" s="35">
        <f t="shared" si="3"/>
        <v>0</v>
      </c>
      <c r="AD104" s="35">
        <f t="shared" si="4"/>
        <v>0</v>
      </c>
      <c r="AE104" s="35">
        <f t="shared" si="5"/>
        <v>0</v>
      </c>
      <c r="AF104" s="35">
        <f t="shared" si="6"/>
        <v>0</v>
      </c>
      <c r="AG104" s="35" t="str">
        <f t="shared" si="7"/>
        <v>No</v>
      </c>
      <c r="AH104" s="35" t="str">
        <f>IFERROR(__xludf.DUMMYFUNCTION("IFERROR(query(query(Data!A:BS,CONCATENATE(""select Col50, count(Col49) where Col1 = '"",C104,""' group by Col50"")), CONCATENATE(""select Col1 where Col2 = "",query(query(query(Data!A:BS,CONCATENATE(""select Col50, count(Col49) where Col1 = '"",C104,""' a"&amp;"nd Col50 &lt;&gt; 'Other' and Col50 is not null group by Col50"")),""select max(Col2)"",0),""Select *"",0),"" limit 1""),0))"),"")</f>
        <v/>
      </c>
      <c r="AI104" s="35" t="str">
        <f t="shared" si="8"/>
        <v/>
      </c>
      <c r="AJ104" s="35" t="str">
        <f t="shared" si="9"/>
        <v>No</v>
      </c>
      <c r="AK104" s="35" t="str">
        <f>IFERROR(__xludf.DUMMYFUNCTION("IFERROR(query(query(Data!A:BS,CONCATENATE(""select Col70, count(Col69) where Col1 = '"",C104,""' group by Col70"")), CONCATENATE(""select Col1 where Col2 = "",query(query(query(Data!A:BS,CONCATENATE(""select Col70, count(Col69) where Col1 = '"",C104,""' a"&amp;"nd Col70 &lt;&gt; 'Other' and Col70 is not null group by Col70"")),""select max(Col2)"",0),""Select *"",0),"" limit 1""),0))"),"")</f>
        <v/>
      </c>
      <c r="AL104" s="35" t="str">
        <f t="shared" si="10"/>
        <v/>
      </c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</row>
    <row r="105">
      <c r="A105" s="25">
        <v>14.0</v>
      </c>
      <c r="B105" s="26" t="s">
        <v>338</v>
      </c>
      <c r="C105" s="27" t="s">
        <v>339</v>
      </c>
      <c r="D105" s="28" t="s">
        <v>339</v>
      </c>
      <c r="E105" s="28" t="s">
        <v>52</v>
      </c>
      <c r="F105" s="28" t="s">
        <v>52</v>
      </c>
      <c r="G105" s="28" t="s">
        <v>53</v>
      </c>
      <c r="H105" s="29">
        <v>49.44074848509672</v>
      </c>
      <c r="I105" s="30">
        <v>66.05583855143765</v>
      </c>
      <c r="J105" s="30">
        <v>34.73901511744449</v>
      </c>
      <c r="K105" s="30">
        <v>45.614035087719294</v>
      </c>
      <c r="L105" s="31">
        <v>54.46757142857143</v>
      </c>
      <c r="M105" s="31">
        <v>43.379555555555555</v>
      </c>
      <c r="N105" s="31">
        <v>55.894666666666666</v>
      </c>
      <c r="O105" s="32" t="s">
        <v>54</v>
      </c>
      <c r="P105" s="32" t="s">
        <v>54</v>
      </c>
      <c r="Q105" s="32" t="s">
        <v>59</v>
      </c>
      <c r="R105" s="33" t="str">
        <f t="shared" si="1"/>
        <v>cap</v>
      </c>
      <c r="S105" s="34" t="str">
        <f>IFERROR(__xludf.DUMMYFUNCTION("IF(query(Data!A:M,CONCATENATE(""select Col13 where Col1 = '"",C105,""' and Col8 = 'Bias and Unfair Discrimination'""),0)&gt;70,1,0)"),"#REF!")</f>
        <v>#REF!</v>
      </c>
      <c r="T105" s="34" t="str">
        <f>IFERROR(__xludf.DUMMYFUNCTION("IF(query(Data!A:M,CONCATENATE(""select Col13 where Col1 = '"",C105,""' and Col8 = 'Childrens Rights'""),0)&gt;70,1,0)"),"#REF!")</f>
        <v>#REF!</v>
      </c>
      <c r="U105" s="34" t="str">
        <f>IFERROR(__xludf.DUMMYFUNCTION("IF(query(Data!A:M,CONCATENATE(""select Col13 where Col1 = '"",C105,""' and Col8 = 'Cultural and Linguistic Diversity'""),0)&gt;70,1,0)"),"#REF!")</f>
        <v>#REF!</v>
      </c>
      <c r="V105" s="34" t="str">
        <f>IFERROR(__xludf.DUMMYFUNCTION("IF(query(Data!A:M,CONCATENATE(""select Col13 where Col1 = '"",C105,""' and Col8 = 'Data Protection and Privacy'""),0)&gt;70,1,0)"),"#REF!")</f>
        <v>#REF!</v>
      </c>
      <c r="W105" s="34" t="str">
        <f>IFERROR(__xludf.DUMMYFUNCTION("IF(query(Data!A:M,CONCATENATE(""select Col13 where Col1 = '"",C105,""' and Col8 = 'Gender Equality'""),0)&gt;70,1,0)"),"#REF!")</f>
        <v>#REF!</v>
      </c>
      <c r="X105" s="34" t="str">
        <f>IFERROR(__xludf.DUMMYFUNCTION("IF(query(Data!A:M,CONCATENATE(""select Col13 where Col1 = '"",C105,""' and Col8 = 'Human Oversight and Determination'""),0)&gt;70,1,0)"),"#REF!")</f>
        <v>#REF!</v>
      </c>
      <c r="Y105" s="34" t="str">
        <f>IFERROR(__xludf.DUMMYFUNCTION("IF(query(Data!A:M,CONCATENATE(""select Col13 where Col1 = '"",C105,""' and Col8 = 'Labour Protection and Right to Work'""),0)&gt;70,1,0)"),"#REF!")</f>
        <v>#REF!</v>
      </c>
      <c r="Z105" s="34" t="str">
        <f>IFERROR(__xludf.DUMMYFUNCTION("IF(query(Data!A:M,CONCATENATE(""select Col13 where Col1 = '"",C105,""' and Col8 = 'Safety, Accuracy and Reliability'""),0)&gt;70,1,0)"),"#REF!")</f>
        <v>#REF!</v>
      </c>
      <c r="AA105" s="34" t="str">
        <f>IFERROR(__xludf.DUMMYFUNCTION("IF(query(Data!A:M,CONCATENATE(""select Col13 where Col1 = '"",C105,""' and Col8 = 'Transparency and Explainability'""),0)&gt;70,1,0)"),"#REF!")</f>
        <v>#REF!</v>
      </c>
      <c r="AB105" s="35">
        <f t="shared" si="2"/>
        <v>0</v>
      </c>
      <c r="AC105" s="35">
        <f t="shared" si="3"/>
        <v>0</v>
      </c>
      <c r="AD105" s="35">
        <f t="shared" si="4"/>
        <v>0</v>
      </c>
      <c r="AE105" s="35">
        <f t="shared" si="5"/>
        <v>0</v>
      </c>
      <c r="AF105" s="35">
        <f t="shared" si="6"/>
        <v>0</v>
      </c>
      <c r="AG105" s="35" t="str">
        <f t="shared" si="7"/>
        <v>No</v>
      </c>
      <c r="AH105" s="35" t="str">
        <f>IFERROR(__xludf.DUMMYFUNCTION("IFERROR(query(query(Data!A:BS,CONCATENATE(""select Col50, count(Col49) where Col1 = '"",C105,""' group by Col50"")), CONCATENATE(""select Col1 where Col2 = "",query(query(query(Data!A:BS,CONCATENATE(""select Col50, count(Col49) where Col1 = '"",C105,""' a"&amp;"nd Col50 &lt;&gt; 'Other' and Col50 is not null group by Col50"")),""select max(Col2)"",0),""Select *"",0),"" limit 1""),0))"),"")</f>
        <v/>
      </c>
      <c r="AI105" s="35" t="str">
        <f t="shared" si="8"/>
        <v/>
      </c>
      <c r="AJ105" s="35" t="str">
        <f t="shared" si="9"/>
        <v>No</v>
      </c>
      <c r="AK105" s="35" t="str">
        <f>IFERROR(__xludf.DUMMYFUNCTION("IFERROR(query(query(Data!A:BS,CONCATENATE(""select Col70, count(Col69) where Col1 = '"",C105,""' group by Col70"")), CONCATENATE(""select Col1 where Col2 = "",query(query(query(Data!A:BS,CONCATENATE(""select Col70, count(Col69) where Col1 = '"",C105,""' a"&amp;"nd Col70 &lt;&gt; 'Other' and Col70 is not null group by Col70"")),""select max(Col2)"",0),""Select *"",0),"" limit 1""),0))"),"")</f>
        <v/>
      </c>
      <c r="AL105" s="35" t="str">
        <f t="shared" si="10"/>
        <v/>
      </c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</row>
    <row r="106">
      <c r="A106" s="25">
        <v>4.0</v>
      </c>
      <c r="B106" s="26" t="s">
        <v>340</v>
      </c>
      <c r="C106" s="27" t="s">
        <v>341</v>
      </c>
      <c r="D106" s="28" t="s">
        <v>342</v>
      </c>
      <c r="E106" s="28" t="s">
        <v>52</v>
      </c>
      <c r="F106" s="28" t="s">
        <v>52</v>
      </c>
      <c r="G106" s="28" t="s">
        <v>186</v>
      </c>
      <c r="H106" s="29">
        <v>73.12162797894393</v>
      </c>
      <c r="I106" s="30">
        <v>60.663893214443256</v>
      </c>
      <c r="J106" s="30">
        <v>80.8984004171271</v>
      </c>
      <c r="K106" s="30">
        <v>82.48355263157893</v>
      </c>
      <c r="L106" s="31">
        <v>67.58871428571429</v>
      </c>
      <c r="M106" s="31">
        <v>79.61811111111109</v>
      </c>
      <c r="N106" s="31">
        <v>66.54333333333334</v>
      </c>
      <c r="O106" s="32" t="s">
        <v>59</v>
      </c>
      <c r="P106" s="32" t="s">
        <v>59</v>
      </c>
      <c r="Q106" s="32" t="s">
        <v>59</v>
      </c>
      <c r="R106" s="33" t="str">
        <f t="shared" si="1"/>
        <v>gob</v>
      </c>
      <c r="S106" s="34" t="str">
        <f>IFERROR(__xludf.DUMMYFUNCTION("IF(query(Data!A:M,CONCATENATE(""select Col13 where Col1 = '"",C106,""' and Col8 = 'Bias and Unfair Discrimination'""),0)&gt;70,1,0)"),"#REF!")</f>
        <v>#REF!</v>
      </c>
      <c r="T106" s="34" t="str">
        <f>IFERROR(__xludf.DUMMYFUNCTION("IF(query(Data!A:M,CONCATENATE(""select Col13 where Col1 = '"",C106,""' and Col8 = 'Childrens Rights'""),0)&gt;70,1,0)"),"#REF!")</f>
        <v>#REF!</v>
      </c>
      <c r="U106" s="34" t="str">
        <f>IFERROR(__xludf.DUMMYFUNCTION("IF(query(Data!A:M,CONCATENATE(""select Col13 where Col1 = '"",C106,""' and Col8 = 'Cultural and Linguistic Diversity'""),0)&gt;70,1,0)"),"#REF!")</f>
        <v>#REF!</v>
      </c>
      <c r="V106" s="34" t="str">
        <f>IFERROR(__xludf.DUMMYFUNCTION("IF(query(Data!A:M,CONCATENATE(""select Col13 where Col1 = '"",C106,""' and Col8 = 'Data Protection and Privacy'""),0)&gt;70,1,0)"),"#REF!")</f>
        <v>#REF!</v>
      </c>
      <c r="W106" s="34" t="str">
        <f>IFERROR(__xludf.DUMMYFUNCTION("IF(query(Data!A:M,CONCATENATE(""select Col13 where Col1 = '"",C106,""' and Col8 = 'Gender Equality'""),0)&gt;70,1,0)"),"#REF!")</f>
        <v>#REF!</v>
      </c>
      <c r="X106" s="34" t="str">
        <f>IFERROR(__xludf.DUMMYFUNCTION("IF(query(Data!A:M,CONCATENATE(""select Col13 where Col1 = '"",C106,""' and Col8 = 'Human Oversight and Determination'""),0)&gt;70,1,0)"),"#REF!")</f>
        <v>#REF!</v>
      </c>
      <c r="Y106" s="34" t="str">
        <f>IFERROR(__xludf.DUMMYFUNCTION("IF(query(Data!A:M,CONCATENATE(""select Col13 where Col1 = '"",C106,""' and Col8 = 'Labour Protection and Right to Work'""),0)&gt;70,1,0)"),"#REF!")</f>
        <v>#REF!</v>
      </c>
      <c r="Z106" s="34" t="str">
        <f>IFERROR(__xludf.DUMMYFUNCTION("IF(query(Data!A:M,CONCATENATE(""select Col13 where Col1 = '"",C106,""' and Col8 = 'Safety, Accuracy and Reliability'""),0)&gt;70,1,0)"),"#REF!")</f>
        <v>#REF!</v>
      </c>
      <c r="AA106" s="34" t="str">
        <f>IFERROR(__xludf.DUMMYFUNCTION("IF(query(Data!A:M,CONCATENATE(""select Col13 where Col1 = '"",C106,""' and Col8 = 'Transparency and Explainability'""),0)&gt;70,1,0)"),"#REF!")</f>
        <v>#REF!</v>
      </c>
      <c r="AB106" s="35">
        <f t="shared" si="2"/>
        <v>0</v>
      </c>
      <c r="AC106" s="35">
        <f t="shared" si="3"/>
        <v>0</v>
      </c>
      <c r="AD106" s="35">
        <f t="shared" si="4"/>
        <v>0</v>
      </c>
      <c r="AE106" s="35">
        <f t="shared" si="5"/>
        <v>0</v>
      </c>
      <c r="AF106" s="35">
        <f t="shared" si="6"/>
        <v>0</v>
      </c>
      <c r="AG106" s="35" t="str">
        <f t="shared" si="7"/>
        <v>No</v>
      </c>
      <c r="AH106" s="35" t="str">
        <f>IFERROR(__xludf.DUMMYFUNCTION("IFERROR(query(query(Data!A:BS,CONCATENATE(""select Col50, count(Col49) where Col1 = '"",C106,""' group by Col50"")), CONCATENATE(""select Col1 where Col2 = "",query(query(query(Data!A:BS,CONCATENATE(""select Col50, count(Col49) where Col1 = '"",C106,""' a"&amp;"nd Col50 &lt;&gt; 'Other' and Col50 is not null group by Col50"")),""select max(Col2)"",0),""Select *"",0),"" limit 1""),0))"),"")</f>
        <v/>
      </c>
      <c r="AI106" s="35" t="str">
        <f t="shared" si="8"/>
        <v/>
      </c>
      <c r="AJ106" s="35" t="str">
        <f t="shared" si="9"/>
        <v>No</v>
      </c>
      <c r="AK106" s="35" t="str">
        <f>IFERROR(__xludf.DUMMYFUNCTION("IFERROR(query(query(Data!A:BS,CONCATENATE(""select Col70, count(Col69) where Col1 = '"",C106,""' group by Col70"")), CONCATENATE(""select Col1 where Col2 = "",query(query(query(Data!A:BS,CONCATENATE(""select Col70, count(Col69) where Col1 = '"",C106,""' a"&amp;"nd Col70 &lt;&gt; 'Other' and Col70 is not null group by Col70"")),""select max(Col2)"",0),""Select *"",0),"" limit 1""),0))"),"")</f>
        <v/>
      </c>
      <c r="AL106" s="35" t="str">
        <f t="shared" si="10"/>
        <v/>
      </c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</row>
    <row r="107">
      <c r="A107" s="25">
        <v>136.0</v>
      </c>
      <c r="B107" s="26" t="s">
        <v>343</v>
      </c>
      <c r="C107" s="27" t="s">
        <v>344</v>
      </c>
      <c r="D107" s="28" t="s">
        <v>345</v>
      </c>
      <c r="E107" s="28" t="s">
        <v>74</v>
      </c>
      <c r="F107" s="28" t="s">
        <v>74</v>
      </c>
      <c r="G107" s="28" t="s">
        <v>106</v>
      </c>
      <c r="H107" s="29">
        <v>0.5675273089659841</v>
      </c>
      <c r="I107" s="30">
        <v>0.0</v>
      </c>
      <c r="J107" s="30">
        <v>1.4188182724149603</v>
      </c>
      <c r="K107" s="30">
        <v>0.0</v>
      </c>
      <c r="L107" s="31">
        <v>0.0</v>
      </c>
      <c r="M107" s="31">
        <v>0.0</v>
      </c>
      <c r="N107" s="31">
        <v>3.594333333333333</v>
      </c>
      <c r="O107" s="32" t="s">
        <v>49</v>
      </c>
      <c r="P107" s="32" t="s">
        <v>49</v>
      </c>
      <c r="Q107" s="32" t="s">
        <v>49</v>
      </c>
      <c r="R107" s="33" t="str">
        <f t="shared" si="1"/>
        <v>cap</v>
      </c>
      <c r="S107" s="34" t="str">
        <f>IFERROR(__xludf.DUMMYFUNCTION("IF(query(Data!A:M,CONCATENATE(""select Col13 where Col1 = '"",C107,""' and Col8 = 'Bias and Unfair Discrimination'""),0)&gt;70,1,0)"),"#REF!")</f>
        <v>#REF!</v>
      </c>
      <c r="T107" s="34" t="str">
        <f>IFERROR(__xludf.DUMMYFUNCTION("IF(query(Data!A:M,CONCATENATE(""select Col13 where Col1 = '"",C107,""' and Col8 = 'Childrens Rights'""),0)&gt;70,1,0)"),"#REF!")</f>
        <v>#REF!</v>
      </c>
      <c r="U107" s="34" t="str">
        <f>IFERROR(__xludf.DUMMYFUNCTION("IF(query(Data!A:M,CONCATENATE(""select Col13 where Col1 = '"",C107,""' and Col8 = 'Cultural and Linguistic Diversity'""),0)&gt;70,1,0)"),"#REF!")</f>
        <v>#REF!</v>
      </c>
      <c r="V107" s="34" t="str">
        <f>IFERROR(__xludf.DUMMYFUNCTION("IF(query(Data!A:M,CONCATENATE(""select Col13 where Col1 = '"",C107,""' and Col8 = 'Data Protection and Privacy'""),0)&gt;70,1,0)"),"#REF!")</f>
        <v>#REF!</v>
      </c>
      <c r="W107" s="34" t="str">
        <f>IFERROR(__xludf.DUMMYFUNCTION("IF(query(Data!A:M,CONCATENATE(""select Col13 where Col1 = '"",C107,""' and Col8 = 'Gender Equality'""),0)&gt;70,1,0)"),"#REF!")</f>
        <v>#REF!</v>
      </c>
      <c r="X107" s="34" t="str">
        <f>IFERROR(__xludf.DUMMYFUNCTION("IF(query(Data!A:M,CONCATENATE(""select Col13 where Col1 = '"",C107,""' and Col8 = 'Human Oversight and Determination'""),0)&gt;70,1,0)"),"#REF!")</f>
        <v>#REF!</v>
      </c>
      <c r="Y107" s="34" t="str">
        <f>IFERROR(__xludf.DUMMYFUNCTION("IF(query(Data!A:M,CONCATENATE(""select Col13 where Col1 = '"",C107,""' and Col8 = 'Labour Protection and Right to Work'""),0)&gt;70,1,0)"),"#REF!")</f>
        <v>#REF!</v>
      </c>
      <c r="Z107" s="34" t="str">
        <f>IFERROR(__xludf.DUMMYFUNCTION("IF(query(Data!A:M,CONCATENATE(""select Col13 where Col1 = '"",C107,""' and Col8 = 'Safety, Accuracy and Reliability'""),0)&gt;70,1,0)"),"#REF!")</f>
        <v>#REF!</v>
      </c>
      <c r="AA107" s="34" t="str">
        <f>IFERROR(__xludf.DUMMYFUNCTION("IF(query(Data!A:M,CONCATENATE(""select Col13 where Col1 = '"",C107,""' and Col8 = 'Transparency and Explainability'""),0)&gt;70,1,0)"),"#REF!")</f>
        <v>#REF!</v>
      </c>
      <c r="AB107" s="35">
        <f t="shared" si="2"/>
        <v>0</v>
      </c>
      <c r="AC107" s="35">
        <f t="shared" si="3"/>
        <v>0</v>
      </c>
      <c r="AD107" s="35">
        <f t="shared" si="4"/>
        <v>0</v>
      </c>
      <c r="AE107" s="35">
        <f t="shared" si="5"/>
        <v>0</v>
      </c>
      <c r="AF107" s="35">
        <f t="shared" si="6"/>
        <v>0</v>
      </c>
      <c r="AG107" s="35" t="str">
        <f t="shared" si="7"/>
        <v>No</v>
      </c>
      <c r="AH107" s="35" t="str">
        <f>IFERROR(__xludf.DUMMYFUNCTION("IFERROR(query(query(Data!A:BS,CONCATENATE(""select Col50, count(Col49) where Col1 = '"",C107,""' group by Col50"")), CONCATENATE(""select Col1 where Col2 = "",query(query(query(Data!A:BS,CONCATENATE(""select Col50, count(Col49) where Col1 = '"",C107,""' a"&amp;"nd Col50 &lt;&gt; 'Other' and Col50 is not null group by Col50"")),""select max(Col2)"",0),""Select *"",0),"" limit 1""),0))"),"")</f>
        <v/>
      </c>
      <c r="AI107" s="35" t="str">
        <f t="shared" si="8"/>
        <v/>
      </c>
      <c r="AJ107" s="35" t="str">
        <f t="shared" si="9"/>
        <v>No</v>
      </c>
      <c r="AK107" s="35" t="str">
        <f>IFERROR(__xludf.DUMMYFUNCTION("IFERROR(query(query(Data!A:BS,CONCATENATE(""select Col70, count(Col69) where Col1 = '"",C107,""' group by Col70"")), CONCATENATE(""select Col1 where Col2 = "",query(query(query(Data!A:BS,CONCATENATE(""select Col70, count(Col69) where Col1 = '"",C107,""' a"&amp;"nd Col70 &lt;&gt; 'Other' and Col70 is not null group by Col70"")),""select max(Col2)"",0),""Select *"",0),"" limit 1""),0))"),"")</f>
        <v/>
      </c>
      <c r="AL107" s="35" t="str">
        <f t="shared" si="10"/>
        <v/>
      </c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</row>
    <row r="108">
      <c r="A108" s="25">
        <v>27.0</v>
      </c>
      <c r="B108" s="26" t="s">
        <v>346</v>
      </c>
      <c r="C108" s="27" t="s">
        <v>347</v>
      </c>
      <c r="D108" s="28" t="s">
        <v>348</v>
      </c>
      <c r="E108" s="28" t="s">
        <v>46</v>
      </c>
      <c r="F108" s="28" t="s">
        <v>47</v>
      </c>
      <c r="G108" s="28" t="s">
        <v>149</v>
      </c>
      <c r="H108" s="29">
        <v>36.17707319761577</v>
      </c>
      <c r="I108" s="30">
        <v>35.64010307245087</v>
      </c>
      <c r="J108" s="30">
        <v>34.586022904044704</v>
      </c>
      <c r="K108" s="30">
        <v>40.433114035087705</v>
      </c>
      <c r="L108" s="31">
        <v>35.076</v>
      </c>
      <c r="M108" s="31">
        <v>36.40233333333333</v>
      </c>
      <c r="N108" s="31">
        <v>38.07033333333333</v>
      </c>
      <c r="O108" s="32" t="s">
        <v>59</v>
      </c>
      <c r="P108" s="32" t="s">
        <v>59</v>
      </c>
      <c r="Q108" s="32" t="s">
        <v>59</v>
      </c>
      <c r="R108" s="33" t="str">
        <f t="shared" si="1"/>
        <v>cap</v>
      </c>
      <c r="S108" s="34" t="str">
        <f>IFERROR(__xludf.DUMMYFUNCTION("IF(query(Data!A:M,CONCATENATE(""select Col13 where Col1 = '"",C108,""' and Col8 = 'Bias and Unfair Discrimination'""),0)&gt;70,1,0)"),"#REF!")</f>
        <v>#REF!</v>
      </c>
      <c r="T108" s="34" t="str">
        <f>IFERROR(__xludf.DUMMYFUNCTION("IF(query(Data!A:M,CONCATENATE(""select Col13 where Col1 = '"",C108,""' and Col8 = 'Childrens Rights'""),0)&gt;70,1,0)"),"#REF!")</f>
        <v>#REF!</v>
      </c>
      <c r="U108" s="34" t="str">
        <f>IFERROR(__xludf.DUMMYFUNCTION("IF(query(Data!A:M,CONCATENATE(""select Col13 where Col1 = '"",C108,""' and Col8 = 'Cultural and Linguistic Diversity'""),0)&gt;70,1,0)"),"#REF!")</f>
        <v>#REF!</v>
      </c>
      <c r="V108" s="34" t="str">
        <f>IFERROR(__xludf.DUMMYFUNCTION("IF(query(Data!A:M,CONCATENATE(""select Col13 where Col1 = '"",C108,""' and Col8 = 'Data Protection and Privacy'""),0)&gt;70,1,0)"),"#REF!")</f>
        <v>#REF!</v>
      </c>
      <c r="W108" s="34" t="str">
        <f>IFERROR(__xludf.DUMMYFUNCTION("IF(query(Data!A:M,CONCATENATE(""select Col13 where Col1 = '"",C108,""' and Col8 = 'Gender Equality'""),0)&gt;70,1,0)"),"#REF!")</f>
        <v>#REF!</v>
      </c>
      <c r="X108" s="34" t="str">
        <f>IFERROR(__xludf.DUMMYFUNCTION("IF(query(Data!A:M,CONCATENATE(""select Col13 where Col1 = '"",C108,""' and Col8 = 'Human Oversight and Determination'""),0)&gt;70,1,0)"),"#REF!")</f>
        <v>#REF!</v>
      </c>
      <c r="Y108" s="34" t="str">
        <f>IFERROR(__xludf.DUMMYFUNCTION("IF(query(Data!A:M,CONCATENATE(""select Col13 where Col1 = '"",C108,""' and Col8 = 'Labour Protection and Right to Work'""),0)&gt;70,1,0)"),"#REF!")</f>
        <v>#REF!</v>
      </c>
      <c r="Z108" s="34" t="str">
        <f>IFERROR(__xludf.DUMMYFUNCTION("IF(query(Data!A:M,CONCATENATE(""select Col13 where Col1 = '"",C108,""' and Col8 = 'Safety, Accuracy and Reliability'""),0)&gt;70,1,0)"),"#REF!")</f>
        <v>#REF!</v>
      </c>
      <c r="AA108" s="34" t="str">
        <f>IFERROR(__xludf.DUMMYFUNCTION("IF(query(Data!A:M,CONCATENATE(""select Col13 where Col1 = '"",C108,""' and Col8 = 'Transparency and Explainability'""),0)&gt;70,1,0)"),"#REF!")</f>
        <v>#REF!</v>
      </c>
      <c r="AB108" s="35">
        <f t="shared" si="2"/>
        <v>0</v>
      </c>
      <c r="AC108" s="35">
        <f t="shared" si="3"/>
        <v>0</v>
      </c>
      <c r="AD108" s="35">
        <f t="shared" si="4"/>
        <v>0</v>
      </c>
      <c r="AE108" s="35">
        <f t="shared" si="5"/>
        <v>0</v>
      </c>
      <c r="AF108" s="35">
        <f t="shared" si="6"/>
        <v>0</v>
      </c>
      <c r="AG108" s="35" t="str">
        <f t="shared" si="7"/>
        <v>No</v>
      </c>
      <c r="AH108" s="35" t="str">
        <f>IFERROR(__xludf.DUMMYFUNCTION("IFERROR(query(query(Data!A:BS,CONCATENATE(""select Col50, count(Col49) where Col1 = '"",C108,""' group by Col50"")), CONCATENATE(""select Col1 where Col2 = "",query(query(query(Data!A:BS,CONCATENATE(""select Col50, count(Col49) where Col1 = '"",C108,""' a"&amp;"nd Col50 &lt;&gt; 'Other' and Col50 is not null group by Col50"")),""select max(Col2)"",0),""Select *"",0),"" limit 1""),0))"),"")</f>
        <v/>
      </c>
      <c r="AI108" s="35" t="str">
        <f t="shared" si="8"/>
        <v/>
      </c>
      <c r="AJ108" s="35" t="str">
        <f t="shared" si="9"/>
        <v>No</v>
      </c>
      <c r="AK108" s="35" t="str">
        <f>IFERROR(__xludf.DUMMYFUNCTION("IFERROR(query(query(Data!A:BS,CONCATENATE(""select Col70, count(Col69) where Col1 = '"",C108,""' group by Col70"")), CONCATENATE(""select Col1 where Col2 = "",query(query(query(Data!A:BS,CONCATENATE(""select Col70, count(Col69) where Col1 = '"",C108,""' a"&amp;"nd Col70 &lt;&gt; 'Other' and Col70 is not null group by Col70"")),""select max(Col2)"",0),""Select *"",0),"" limit 1""),0))"),"")</f>
        <v/>
      </c>
      <c r="AL108" s="35" t="str">
        <f t="shared" si="10"/>
        <v/>
      </c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</row>
    <row r="109">
      <c r="A109" s="25">
        <v>69.0</v>
      </c>
      <c r="B109" s="26" t="s">
        <v>349</v>
      </c>
      <c r="C109" s="27" t="s">
        <v>350</v>
      </c>
      <c r="D109" s="28" t="s">
        <v>351</v>
      </c>
      <c r="E109" s="28" t="s">
        <v>52</v>
      </c>
      <c r="F109" s="28" t="s">
        <v>52</v>
      </c>
      <c r="G109" s="28" t="s">
        <v>110</v>
      </c>
      <c r="H109" s="29">
        <v>12.988042055765789</v>
      </c>
      <c r="I109" s="30">
        <v>0.0</v>
      </c>
      <c r="J109" s="30">
        <v>29.043570051695173</v>
      </c>
      <c r="K109" s="30">
        <v>6.853070175438596</v>
      </c>
      <c r="L109" s="31">
        <v>13.715142857142856</v>
      </c>
      <c r="M109" s="31">
        <v>14.249333333333333</v>
      </c>
      <c r="N109" s="31">
        <v>7.508</v>
      </c>
      <c r="O109" s="32" t="s">
        <v>54</v>
      </c>
      <c r="P109" s="32" t="s">
        <v>80</v>
      </c>
      <c r="Q109" s="32" t="s">
        <v>54</v>
      </c>
      <c r="R109" s="33" t="str">
        <f t="shared" si="1"/>
        <v>gob</v>
      </c>
      <c r="S109" s="34" t="str">
        <f>IFERROR(__xludf.DUMMYFUNCTION("IF(query(Data!A:M,CONCATENATE(""select Col13 where Col1 = '"",C109,""' and Col8 = 'Bias and Unfair Discrimination'""),0)&gt;70,1,0)"),"#REF!")</f>
        <v>#REF!</v>
      </c>
      <c r="T109" s="34" t="str">
        <f>IFERROR(__xludf.DUMMYFUNCTION("IF(query(Data!A:M,CONCATENATE(""select Col13 where Col1 = '"",C109,""' and Col8 = 'Childrens Rights'""),0)&gt;70,1,0)"),"#REF!")</f>
        <v>#REF!</v>
      </c>
      <c r="U109" s="34" t="str">
        <f>IFERROR(__xludf.DUMMYFUNCTION("IF(query(Data!A:M,CONCATENATE(""select Col13 where Col1 = '"",C109,""' and Col8 = 'Cultural and Linguistic Diversity'""),0)&gt;70,1,0)"),"#REF!")</f>
        <v>#REF!</v>
      </c>
      <c r="V109" s="34" t="str">
        <f>IFERROR(__xludf.DUMMYFUNCTION("IF(query(Data!A:M,CONCATENATE(""select Col13 where Col1 = '"",C109,""' and Col8 = 'Data Protection and Privacy'""),0)&gt;70,1,0)"),"#REF!")</f>
        <v>#REF!</v>
      </c>
      <c r="W109" s="34" t="str">
        <f>IFERROR(__xludf.DUMMYFUNCTION("IF(query(Data!A:M,CONCATENATE(""select Col13 where Col1 = '"",C109,""' and Col8 = 'Gender Equality'""),0)&gt;70,1,0)"),"#REF!")</f>
        <v>#REF!</v>
      </c>
      <c r="X109" s="34" t="str">
        <f>IFERROR(__xludf.DUMMYFUNCTION("IF(query(Data!A:M,CONCATENATE(""select Col13 where Col1 = '"",C109,""' and Col8 = 'Human Oversight and Determination'""),0)&gt;70,1,0)"),"#REF!")</f>
        <v>#REF!</v>
      </c>
      <c r="Y109" s="34" t="str">
        <f>IFERROR(__xludf.DUMMYFUNCTION("IF(query(Data!A:M,CONCATENATE(""select Col13 where Col1 = '"",C109,""' and Col8 = 'Labour Protection and Right to Work'""),0)&gt;70,1,0)"),"#REF!")</f>
        <v>#REF!</v>
      </c>
      <c r="Z109" s="34" t="str">
        <f>IFERROR(__xludf.DUMMYFUNCTION("IF(query(Data!A:M,CONCATENATE(""select Col13 where Col1 = '"",C109,""' and Col8 = 'Safety, Accuracy and Reliability'""),0)&gt;70,1,0)"),"#REF!")</f>
        <v>#REF!</v>
      </c>
      <c r="AA109" s="34" t="str">
        <f>IFERROR(__xludf.DUMMYFUNCTION("IF(query(Data!A:M,CONCATENATE(""select Col13 where Col1 = '"",C109,""' and Col8 = 'Transparency and Explainability'""),0)&gt;70,1,0)"),"#REF!")</f>
        <v>#REF!</v>
      </c>
      <c r="AB109" s="35">
        <f t="shared" si="2"/>
        <v>0</v>
      </c>
      <c r="AC109" s="35">
        <f t="shared" si="3"/>
        <v>0</v>
      </c>
      <c r="AD109" s="35">
        <f t="shared" si="4"/>
        <v>0</v>
      </c>
      <c r="AE109" s="35">
        <f t="shared" si="5"/>
        <v>0</v>
      </c>
      <c r="AF109" s="35">
        <f t="shared" si="6"/>
        <v>0</v>
      </c>
      <c r="AG109" s="35" t="str">
        <f t="shared" si="7"/>
        <v>No</v>
      </c>
      <c r="AH109" s="35" t="str">
        <f>IFERROR(__xludf.DUMMYFUNCTION("IFERROR(query(query(Data!A:BS,CONCATENATE(""select Col50, count(Col49) where Col1 = '"",C109,""' group by Col50"")), CONCATENATE(""select Col1 where Col2 = "",query(query(query(Data!A:BS,CONCATENATE(""select Col50, count(Col49) where Col1 = '"",C109,""' a"&amp;"nd Col50 &lt;&gt; 'Other' and Col50 is not null group by Col50"")),""select max(Col2)"",0),""Select *"",0),"" limit 1""),0))"),"")</f>
        <v/>
      </c>
      <c r="AI109" s="35" t="str">
        <f t="shared" si="8"/>
        <v/>
      </c>
      <c r="AJ109" s="35" t="str">
        <f t="shared" si="9"/>
        <v>No</v>
      </c>
      <c r="AK109" s="35" t="str">
        <f>IFERROR(__xludf.DUMMYFUNCTION("IFERROR(query(query(Data!A:BS,CONCATENATE(""select Col70, count(Col69) where Col1 = '"",C109,""' group by Col70"")), CONCATENATE(""select Col1 where Col2 = "",query(query(query(Data!A:BS,CONCATENATE(""select Col70, count(Col69) where Col1 = '"",C109,""' a"&amp;"nd Col70 &lt;&gt; 'Other' and Col70 is not null group by Col70"")),""select max(Col2)"",0),""Select *"",0),"" limit 1""),0))"),"")</f>
        <v/>
      </c>
      <c r="AL109" s="35" t="str">
        <f t="shared" si="10"/>
        <v/>
      </c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</row>
    <row r="110">
      <c r="A110" s="25">
        <v>132.0</v>
      </c>
      <c r="B110" s="26" t="s">
        <v>352</v>
      </c>
      <c r="C110" s="27" t="s">
        <v>353</v>
      </c>
      <c r="D110" s="28" t="s">
        <v>354</v>
      </c>
      <c r="E110" s="28" t="s">
        <v>74</v>
      </c>
      <c r="F110" s="28" t="s">
        <v>74</v>
      </c>
      <c r="G110" s="28" t="s">
        <v>106</v>
      </c>
      <c r="H110" s="29">
        <v>0.6987855843075534</v>
      </c>
      <c r="I110" s="30">
        <v>0.0</v>
      </c>
      <c r="J110" s="30">
        <v>1.3015143993653748</v>
      </c>
      <c r="K110" s="30">
        <v>0.8908991228070174</v>
      </c>
      <c r="L110" s="31">
        <v>0.48357142857142854</v>
      </c>
      <c r="M110" s="31">
        <v>0.0</v>
      </c>
      <c r="N110" s="31">
        <v>3.297333333333333</v>
      </c>
      <c r="O110" s="32" t="s">
        <v>49</v>
      </c>
      <c r="P110" s="32" t="s">
        <v>49</v>
      </c>
      <c r="Q110" s="32" t="s">
        <v>80</v>
      </c>
      <c r="R110" s="33" t="str">
        <f t="shared" si="1"/>
        <v>cap</v>
      </c>
      <c r="S110" s="34" t="str">
        <f>IFERROR(__xludf.DUMMYFUNCTION("IF(query(Data!A:M,CONCATENATE(""select Col13 where Col1 = '"",C110,""' and Col8 = 'Bias and Unfair Discrimination'""),0)&gt;70,1,0)"),"#REF!")</f>
        <v>#REF!</v>
      </c>
      <c r="T110" s="34" t="str">
        <f>IFERROR(__xludf.DUMMYFUNCTION("IF(query(Data!A:M,CONCATENATE(""select Col13 where Col1 = '"",C110,""' and Col8 = 'Childrens Rights'""),0)&gt;70,1,0)"),"#REF!")</f>
        <v>#REF!</v>
      </c>
      <c r="U110" s="34" t="str">
        <f>IFERROR(__xludf.DUMMYFUNCTION("IF(query(Data!A:M,CONCATENATE(""select Col13 where Col1 = '"",C110,""' and Col8 = 'Cultural and Linguistic Diversity'""),0)&gt;70,1,0)"),"#REF!")</f>
        <v>#REF!</v>
      </c>
      <c r="V110" s="34" t="str">
        <f>IFERROR(__xludf.DUMMYFUNCTION("IF(query(Data!A:M,CONCATENATE(""select Col13 where Col1 = '"",C110,""' and Col8 = 'Data Protection and Privacy'""),0)&gt;70,1,0)"),"#REF!")</f>
        <v>#REF!</v>
      </c>
      <c r="W110" s="34" t="str">
        <f>IFERROR(__xludf.DUMMYFUNCTION("IF(query(Data!A:M,CONCATENATE(""select Col13 where Col1 = '"",C110,""' and Col8 = 'Gender Equality'""),0)&gt;70,1,0)"),"#REF!")</f>
        <v>#REF!</v>
      </c>
      <c r="X110" s="34" t="str">
        <f>IFERROR(__xludf.DUMMYFUNCTION("IF(query(Data!A:M,CONCATENATE(""select Col13 where Col1 = '"",C110,""' and Col8 = 'Human Oversight and Determination'""),0)&gt;70,1,0)"),"#REF!")</f>
        <v>#REF!</v>
      </c>
      <c r="Y110" s="34" t="str">
        <f>IFERROR(__xludf.DUMMYFUNCTION("IF(query(Data!A:M,CONCATENATE(""select Col13 where Col1 = '"",C110,""' and Col8 = 'Labour Protection and Right to Work'""),0)&gt;70,1,0)"),"#REF!")</f>
        <v>#REF!</v>
      </c>
      <c r="Z110" s="34" t="str">
        <f>IFERROR(__xludf.DUMMYFUNCTION("IF(query(Data!A:M,CONCATENATE(""select Col13 where Col1 = '"",C110,""' and Col8 = 'Safety, Accuracy and Reliability'""),0)&gt;70,1,0)"),"#REF!")</f>
        <v>#REF!</v>
      </c>
      <c r="AA110" s="34" t="str">
        <f>IFERROR(__xludf.DUMMYFUNCTION("IF(query(Data!A:M,CONCATENATE(""select Col13 where Col1 = '"",C110,""' and Col8 = 'Transparency and Explainability'""),0)&gt;70,1,0)"),"#REF!")</f>
        <v>#REF!</v>
      </c>
      <c r="AB110" s="35">
        <f t="shared" si="2"/>
        <v>0</v>
      </c>
      <c r="AC110" s="35">
        <f t="shared" si="3"/>
        <v>0</v>
      </c>
      <c r="AD110" s="35">
        <f t="shared" si="4"/>
        <v>0</v>
      </c>
      <c r="AE110" s="35">
        <f t="shared" si="5"/>
        <v>0</v>
      </c>
      <c r="AF110" s="35">
        <f t="shared" si="6"/>
        <v>0</v>
      </c>
      <c r="AG110" s="35" t="str">
        <f t="shared" si="7"/>
        <v>No</v>
      </c>
      <c r="AH110" s="35" t="str">
        <f>IFERROR(__xludf.DUMMYFUNCTION("IFERROR(query(query(Data!A:BS,CONCATENATE(""select Col50, count(Col49) where Col1 = '"",C110,""' group by Col50"")), CONCATENATE(""select Col1 where Col2 = "",query(query(query(Data!A:BS,CONCATENATE(""select Col50, count(Col49) where Col1 = '"",C110,""' a"&amp;"nd Col50 &lt;&gt; 'Other' and Col50 is not null group by Col50"")),""select max(Col2)"",0),""Select *"",0),"" limit 1""),0))"),"")</f>
        <v/>
      </c>
      <c r="AI110" s="35" t="str">
        <f t="shared" si="8"/>
        <v/>
      </c>
      <c r="AJ110" s="35" t="str">
        <f t="shared" si="9"/>
        <v>No</v>
      </c>
      <c r="AK110" s="35" t="str">
        <f>IFERROR(__xludf.DUMMYFUNCTION("IFERROR(query(query(Data!A:BS,CONCATENATE(""select Col70, count(Col69) where Col1 = '"",C110,""' group by Col70"")), CONCATENATE(""select Col1 where Col2 = "",query(query(query(Data!A:BS,CONCATENATE(""select Col70, count(Col69) where Col1 = '"",C110,""' a"&amp;"nd Col70 &lt;&gt; 'Other' and Col70 is not null group by Col70"")),""select max(Col2)"",0),""Select *"",0),"" limit 1""),0))"),"")</f>
        <v/>
      </c>
      <c r="AL110" s="35" t="str">
        <f t="shared" si="10"/>
        <v/>
      </c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</row>
    <row r="111">
      <c r="A111" s="25">
        <v>116.0</v>
      </c>
      <c r="B111" s="26" t="s">
        <v>355</v>
      </c>
      <c r="C111" s="28" t="s">
        <v>356</v>
      </c>
      <c r="D111" s="28" t="s">
        <v>357</v>
      </c>
      <c r="E111" s="28" t="s">
        <v>46</v>
      </c>
      <c r="F111" s="28" t="s">
        <v>47</v>
      </c>
      <c r="G111" s="28" t="s">
        <v>132</v>
      </c>
      <c r="H111" s="29">
        <v>1.6578947368421053</v>
      </c>
      <c r="I111" s="30">
        <v>0.0</v>
      </c>
      <c r="J111" s="30">
        <v>4.144736842105263</v>
      </c>
      <c r="K111" s="30">
        <v>0.0</v>
      </c>
      <c r="L111" s="31">
        <v>0.0</v>
      </c>
      <c r="M111" s="31">
        <v>1.75</v>
      </c>
      <c r="N111" s="31">
        <v>5.25</v>
      </c>
      <c r="O111" s="32" t="s">
        <v>49</v>
      </c>
      <c r="P111" s="32" t="s">
        <v>76</v>
      </c>
      <c r="Q111" s="32" t="s">
        <v>49</v>
      </c>
      <c r="R111" s="33" t="str">
        <f t="shared" si="1"/>
        <v>cap</v>
      </c>
      <c r="S111" s="34" t="str">
        <f>IFERROR(__xludf.DUMMYFUNCTION("IF(query(Data!A:M,CONCATENATE(""select Col13 where Col1 = '"",C111,""' and Col8 = 'Bias and Unfair Discrimination'""),0)&gt;70,1,0)"),"#REF!")</f>
        <v>#REF!</v>
      </c>
      <c r="T111" s="34" t="str">
        <f>IFERROR(__xludf.DUMMYFUNCTION("IF(query(Data!A:M,CONCATENATE(""select Col13 where Col1 = '"",C111,""' and Col8 = 'Childrens Rights'""),0)&gt;70,1,0)"),"#REF!")</f>
        <v>#REF!</v>
      </c>
      <c r="U111" s="34" t="str">
        <f>IFERROR(__xludf.DUMMYFUNCTION("IF(query(Data!A:M,CONCATENATE(""select Col13 where Col1 = '"",C111,""' and Col8 = 'Cultural and Linguistic Diversity'""),0)&gt;70,1,0)"),"#REF!")</f>
        <v>#REF!</v>
      </c>
      <c r="V111" s="34" t="str">
        <f>IFERROR(__xludf.DUMMYFUNCTION("IF(query(Data!A:M,CONCATENATE(""select Col13 where Col1 = '"",C111,""' and Col8 = 'Data Protection and Privacy'""),0)&gt;70,1,0)"),"#REF!")</f>
        <v>#REF!</v>
      </c>
      <c r="W111" s="34" t="str">
        <f>IFERROR(__xludf.DUMMYFUNCTION("IF(query(Data!A:M,CONCATENATE(""select Col13 where Col1 = '"",C111,""' and Col8 = 'Gender Equality'""),0)&gt;70,1,0)"),"#REF!")</f>
        <v>#REF!</v>
      </c>
      <c r="X111" s="34" t="str">
        <f>IFERROR(__xludf.DUMMYFUNCTION("IF(query(Data!A:M,CONCATENATE(""select Col13 where Col1 = '"",C111,""' and Col8 = 'Human Oversight and Determination'""),0)&gt;70,1,0)"),"#REF!")</f>
        <v>#REF!</v>
      </c>
      <c r="Y111" s="34" t="str">
        <f>IFERROR(__xludf.DUMMYFUNCTION("IF(query(Data!A:M,CONCATENATE(""select Col13 where Col1 = '"",C111,""' and Col8 = 'Labour Protection and Right to Work'""),0)&gt;70,1,0)"),"#REF!")</f>
        <v>#REF!</v>
      </c>
      <c r="Z111" s="34" t="str">
        <f>IFERROR(__xludf.DUMMYFUNCTION("IF(query(Data!A:M,CONCATENATE(""select Col13 where Col1 = '"",C111,""' and Col8 = 'Safety, Accuracy and Reliability'""),0)&gt;70,1,0)"),"#REF!")</f>
        <v>#REF!</v>
      </c>
      <c r="AA111" s="34" t="str">
        <f>IFERROR(__xludf.DUMMYFUNCTION("IF(query(Data!A:M,CONCATENATE(""select Col13 where Col1 = '"",C111,""' and Col8 = 'Transparency and Explainability'""),0)&gt;70,1,0)"),"#REF!")</f>
        <v>#REF!</v>
      </c>
      <c r="AB111" s="35">
        <f t="shared" si="2"/>
        <v>0</v>
      </c>
      <c r="AC111" s="35">
        <f t="shared" si="3"/>
        <v>0</v>
      </c>
      <c r="AD111" s="35">
        <f t="shared" si="4"/>
        <v>0</v>
      </c>
      <c r="AE111" s="35">
        <f t="shared" si="5"/>
        <v>0</v>
      </c>
      <c r="AF111" s="35">
        <f t="shared" si="6"/>
        <v>0</v>
      </c>
      <c r="AG111" s="35" t="str">
        <f t="shared" si="7"/>
        <v>No</v>
      </c>
      <c r="AH111" s="35" t="str">
        <f>IFERROR(__xludf.DUMMYFUNCTION("IFERROR(query(query(Data!A:BS,CONCATENATE(""select Col50, count(Col49) where Col1 = '"",C111,""' group by Col50"")), CONCATENATE(""select Col1 where Col2 = "",query(query(query(Data!A:BS,CONCATENATE(""select Col50, count(Col49) where Col1 = '"",C111,""' a"&amp;"nd Col50 &lt;&gt; 'Other' and Col50 is not null group by Col50"")),""select max(Col2)"",0),""Select *"",0),"" limit 1""),0))"),"")</f>
        <v/>
      </c>
      <c r="AI111" s="35" t="str">
        <f t="shared" si="8"/>
        <v/>
      </c>
      <c r="AJ111" s="35" t="str">
        <f t="shared" si="9"/>
        <v>No</v>
      </c>
      <c r="AK111" s="35" t="str">
        <f>IFERROR(__xludf.DUMMYFUNCTION("IFERROR(query(query(Data!A:BS,CONCATENATE(""select Col70, count(Col69) where Col1 = '"",C111,""' group by Col70"")), CONCATENATE(""select Col1 where Col2 = "",query(query(query(Data!A:BS,CONCATENATE(""select Col70, count(Col69) where Col1 = '"",C111,""' a"&amp;"nd Col70 &lt;&gt; 'Other' and Col70 is not null group by Col70"")),""select max(Col2)"",0),""Select *"",0),"" limit 1""),0))"),"")</f>
        <v/>
      </c>
      <c r="AL111" s="35" t="str">
        <f t="shared" si="10"/>
        <v/>
      </c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</row>
    <row r="112">
      <c r="A112" s="25">
        <v>50.0</v>
      </c>
      <c r="B112" s="26" t="s">
        <v>358</v>
      </c>
      <c r="C112" s="27" t="s">
        <v>359</v>
      </c>
      <c r="D112" s="28" t="s">
        <v>360</v>
      </c>
      <c r="E112" s="28" t="s">
        <v>63</v>
      </c>
      <c r="F112" s="28" t="s">
        <v>64</v>
      </c>
      <c r="G112" s="28" t="s">
        <v>65</v>
      </c>
      <c r="H112" s="29">
        <v>23.181065803661678</v>
      </c>
      <c r="I112" s="30">
        <v>39.46333968848512</v>
      </c>
      <c r="J112" s="30">
        <v>9.114324820669074</v>
      </c>
      <c r="K112" s="30">
        <v>18.749999999999996</v>
      </c>
      <c r="L112" s="31">
        <v>16.578857142857142</v>
      </c>
      <c r="M112" s="31">
        <v>26.445222222222228</v>
      </c>
      <c r="N112" s="31">
        <v>28.793333333333333</v>
      </c>
      <c r="O112" s="32" t="s">
        <v>54</v>
      </c>
      <c r="P112" s="32" t="s">
        <v>80</v>
      </c>
      <c r="Q112" s="32" t="s">
        <v>59</v>
      </c>
      <c r="R112" s="33" t="str">
        <f t="shared" si="1"/>
        <v>cap</v>
      </c>
      <c r="S112" s="34" t="str">
        <f>IFERROR(__xludf.DUMMYFUNCTION("IF(query(Data!A:M,CONCATENATE(""select Col13 where Col1 = '"",C112,""' and Col8 = 'Bias and Unfair Discrimination'""),0)&gt;70,1,0)"),"#REF!")</f>
        <v>#REF!</v>
      </c>
      <c r="T112" s="34" t="str">
        <f>IFERROR(__xludf.DUMMYFUNCTION("IF(query(Data!A:M,CONCATENATE(""select Col13 where Col1 = '"",C112,""' and Col8 = 'Childrens Rights'""),0)&gt;70,1,0)"),"#REF!")</f>
        <v>#REF!</v>
      </c>
      <c r="U112" s="34" t="str">
        <f>IFERROR(__xludf.DUMMYFUNCTION("IF(query(Data!A:M,CONCATENATE(""select Col13 where Col1 = '"",C112,""' and Col8 = 'Cultural and Linguistic Diversity'""),0)&gt;70,1,0)"),"#REF!")</f>
        <v>#REF!</v>
      </c>
      <c r="V112" s="34" t="str">
        <f>IFERROR(__xludf.DUMMYFUNCTION("IF(query(Data!A:M,CONCATENATE(""select Col13 where Col1 = '"",C112,""' and Col8 = 'Data Protection and Privacy'""),0)&gt;70,1,0)"),"#REF!")</f>
        <v>#REF!</v>
      </c>
      <c r="W112" s="34" t="str">
        <f>IFERROR(__xludf.DUMMYFUNCTION("IF(query(Data!A:M,CONCATENATE(""select Col13 where Col1 = '"",C112,""' and Col8 = 'Gender Equality'""),0)&gt;70,1,0)"),"#REF!")</f>
        <v>#REF!</v>
      </c>
      <c r="X112" s="34" t="str">
        <f>IFERROR(__xludf.DUMMYFUNCTION("IF(query(Data!A:M,CONCATENATE(""select Col13 where Col1 = '"",C112,""' and Col8 = 'Human Oversight and Determination'""),0)&gt;70,1,0)"),"#REF!")</f>
        <v>#REF!</v>
      </c>
      <c r="Y112" s="34" t="str">
        <f>IFERROR(__xludf.DUMMYFUNCTION("IF(query(Data!A:M,CONCATENATE(""select Col13 where Col1 = '"",C112,""' and Col8 = 'Labour Protection and Right to Work'""),0)&gt;70,1,0)"),"#REF!")</f>
        <v>#REF!</v>
      </c>
      <c r="Z112" s="34" t="str">
        <f>IFERROR(__xludf.DUMMYFUNCTION("IF(query(Data!A:M,CONCATENATE(""select Col13 where Col1 = '"",C112,""' and Col8 = 'Safety, Accuracy and Reliability'""),0)&gt;70,1,0)"),"#REF!")</f>
        <v>#REF!</v>
      </c>
      <c r="AA112" s="34" t="str">
        <f>IFERROR(__xludf.DUMMYFUNCTION("IF(query(Data!A:M,CONCATENATE(""select Col13 where Col1 = '"",C112,""' and Col8 = 'Transparency and Explainability'""),0)&gt;70,1,0)"),"#REF!")</f>
        <v>#REF!</v>
      </c>
      <c r="AB112" s="35">
        <f t="shared" si="2"/>
        <v>0</v>
      </c>
      <c r="AC112" s="35">
        <f t="shared" si="3"/>
        <v>0</v>
      </c>
      <c r="AD112" s="35">
        <f t="shared" si="4"/>
        <v>0</v>
      </c>
      <c r="AE112" s="35">
        <f t="shared" si="5"/>
        <v>0</v>
      </c>
      <c r="AF112" s="35">
        <f t="shared" si="6"/>
        <v>0</v>
      </c>
      <c r="AG112" s="35" t="str">
        <f t="shared" si="7"/>
        <v>No</v>
      </c>
      <c r="AH112" s="35" t="str">
        <f>IFERROR(__xludf.DUMMYFUNCTION("IFERROR(query(query(Data!A:BS,CONCATENATE(""select Col50, count(Col49) where Col1 = '"",C112,""' group by Col50"")), CONCATENATE(""select Col1 where Col2 = "",query(query(query(Data!A:BS,CONCATENATE(""select Col50, count(Col49) where Col1 = '"",C112,""' a"&amp;"nd Col50 &lt;&gt; 'Other' and Col50 is not null group by Col50"")),""select max(Col2)"",0),""Select *"",0),"" limit 1""),0))"),"")</f>
        <v/>
      </c>
      <c r="AI112" s="35" t="str">
        <f t="shared" si="8"/>
        <v/>
      </c>
      <c r="AJ112" s="35" t="str">
        <f t="shared" si="9"/>
        <v>No</v>
      </c>
      <c r="AK112" s="35" t="str">
        <f>IFERROR(__xludf.DUMMYFUNCTION("IFERROR(query(query(Data!A:BS,CONCATENATE(""select Col70, count(Col69) where Col1 = '"",C112,""' group by Col70"")), CONCATENATE(""select Col1 where Col2 = "",query(query(query(Data!A:BS,CONCATENATE(""select Col70, count(Col69) where Col1 = '"",C112,""' a"&amp;"nd Col70 &lt;&gt; 'Other' and Col70 is not null group by Col70"")),""select max(Col2)"",0),""Select *"",0),"" limit 1""),0))"),"")</f>
        <v/>
      </c>
      <c r="AL112" s="35" t="str">
        <f t="shared" si="10"/>
        <v/>
      </c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</row>
    <row r="113">
      <c r="A113" s="25">
        <v>79.0</v>
      </c>
      <c r="B113" s="26" t="s">
        <v>361</v>
      </c>
      <c r="C113" s="27" t="s">
        <v>362</v>
      </c>
      <c r="D113" s="28" t="s">
        <v>363</v>
      </c>
      <c r="E113" s="28" t="s">
        <v>46</v>
      </c>
      <c r="F113" s="28" t="s">
        <v>47</v>
      </c>
      <c r="G113" s="28" t="s">
        <v>249</v>
      </c>
      <c r="H113" s="29">
        <v>7.404605251111482</v>
      </c>
      <c r="I113" s="30">
        <v>2.135054613414564</v>
      </c>
      <c r="J113" s="30">
        <v>10.496524303837825</v>
      </c>
      <c r="K113" s="30">
        <v>11.75986842105263</v>
      </c>
      <c r="L113" s="31">
        <v>8.882857142857143</v>
      </c>
      <c r="M113" s="31">
        <v>3.6169999999999995</v>
      </c>
      <c r="N113" s="31">
        <v>15.317999999999998</v>
      </c>
      <c r="O113" s="32" t="s">
        <v>76</v>
      </c>
      <c r="P113" s="32" t="s">
        <v>49</v>
      </c>
      <c r="Q113" s="32" t="s">
        <v>54</v>
      </c>
      <c r="R113" s="33" t="str">
        <f t="shared" si="1"/>
        <v>cap</v>
      </c>
      <c r="S113" s="34" t="str">
        <f>IFERROR(__xludf.DUMMYFUNCTION("IF(query(Data!A:M,CONCATENATE(""select Col13 where Col1 = '"",C113,""' and Col8 = 'Bias and Unfair Discrimination'""),0)&gt;70,1,0)"),"#REF!")</f>
        <v>#REF!</v>
      </c>
      <c r="T113" s="34" t="str">
        <f>IFERROR(__xludf.DUMMYFUNCTION("IF(query(Data!A:M,CONCATENATE(""select Col13 where Col1 = '"",C113,""' and Col8 = 'Childrens Rights'""),0)&gt;70,1,0)"),"#REF!")</f>
        <v>#REF!</v>
      </c>
      <c r="U113" s="34" t="str">
        <f>IFERROR(__xludf.DUMMYFUNCTION("IF(query(Data!A:M,CONCATENATE(""select Col13 where Col1 = '"",C113,""' and Col8 = 'Cultural and Linguistic Diversity'""),0)&gt;70,1,0)"),"#REF!")</f>
        <v>#REF!</v>
      </c>
      <c r="V113" s="34" t="str">
        <f>IFERROR(__xludf.DUMMYFUNCTION("IF(query(Data!A:M,CONCATENATE(""select Col13 where Col1 = '"",C113,""' and Col8 = 'Data Protection and Privacy'""),0)&gt;70,1,0)"),"#REF!")</f>
        <v>#REF!</v>
      </c>
      <c r="W113" s="34" t="str">
        <f>IFERROR(__xludf.DUMMYFUNCTION("IF(query(Data!A:M,CONCATENATE(""select Col13 where Col1 = '"",C113,""' and Col8 = 'Gender Equality'""),0)&gt;70,1,0)"),"#REF!")</f>
        <v>#REF!</v>
      </c>
      <c r="X113" s="34" t="str">
        <f>IFERROR(__xludf.DUMMYFUNCTION("IF(query(Data!A:M,CONCATENATE(""select Col13 where Col1 = '"",C113,""' and Col8 = 'Human Oversight and Determination'""),0)&gt;70,1,0)"),"#REF!")</f>
        <v>#REF!</v>
      </c>
      <c r="Y113" s="34" t="str">
        <f>IFERROR(__xludf.DUMMYFUNCTION("IF(query(Data!A:M,CONCATENATE(""select Col13 where Col1 = '"",C113,""' and Col8 = 'Labour Protection and Right to Work'""),0)&gt;70,1,0)"),"#REF!")</f>
        <v>#REF!</v>
      </c>
      <c r="Z113" s="34" t="str">
        <f>IFERROR(__xludf.DUMMYFUNCTION("IF(query(Data!A:M,CONCATENATE(""select Col13 where Col1 = '"",C113,""' and Col8 = 'Safety, Accuracy and Reliability'""),0)&gt;70,1,0)"),"#REF!")</f>
        <v>#REF!</v>
      </c>
      <c r="AA113" s="34" t="str">
        <f>IFERROR(__xludf.DUMMYFUNCTION("IF(query(Data!A:M,CONCATENATE(""select Col13 where Col1 = '"",C113,""' and Col8 = 'Transparency and Explainability'""),0)&gt;70,1,0)"),"#REF!")</f>
        <v>#REF!</v>
      </c>
      <c r="AB113" s="35">
        <f t="shared" si="2"/>
        <v>0</v>
      </c>
      <c r="AC113" s="35">
        <f t="shared" si="3"/>
        <v>0</v>
      </c>
      <c r="AD113" s="35">
        <f t="shared" si="4"/>
        <v>0</v>
      </c>
      <c r="AE113" s="35">
        <f t="shared" si="5"/>
        <v>0</v>
      </c>
      <c r="AF113" s="35">
        <f t="shared" si="6"/>
        <v>0</v>
      </c>
      <c r="AG113" s="35" t="str">
        <f t="shared" si="7"/>
        <v>No</v>
      </c>
      <c r="AH113" s="35" t="str">
        <f>IFERROR(__xludf.DUMMYFUNCTION("IFERROR(query(query(Data!A:BS,CONCATENATE(""select Col50, count(Col49) where Col1 = '"",C113,""' group by Col50"")), CONCATENATE(""select Col1 where Col2 = "",query(query(query(Data!A:BS,CONCATENATE(""select Col50, count(Col49) where Col1 = '"",C113,""' a"&amp;"nd Col50 &lt;&gt; 'Other' and Col50 is not null group by Col50"")),""select max(Col2)"",0),""Select *"",0),"" limit 1""),0))"),"")</f>
        <v/>
      </c>
      <c r="AI113" s="35" t="str">
        <f t="shared" si="8"/>
        <v/>
      </c>
      <c r="AJ113" s="35" t="str">
        <f t="shared" si="9"/>
        <v>No</v>
      </c>
      <c r="AK113" s="35" t="str">
        <f>IFERROR(__xludf.DUMMYFUNCTION("IFERROR(query(query(Data!A:BS,CONCATENATE(""select Col70, count(Col69) where Col1 = '"",C113,""' group by Col70"")), CONCATENATE(""select Col1 where Col2 = "",query(query(query(Data!A:BS,CONCATENATE(""select Col70, count(Col69) where Col1 = '"",C113,""' a"&amp;"nd Col70 &lt;&gt; 'Other' and Col70 is not null group by Col70"")),""select max(Col2)"",0),""Select *"",0),"" limit 1""),0))"),"")</f>
        <v/>
      </c>
      <c r="AL113" s="35" t="str">
        <f t="shared" si="10"/>
        <v/>
      </c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</row>
    <row r="114">
      <c r="A114" s="25">
        <v>108.0</v>
      </c>
      <c r="B114" s="26" t="s">
        <v>364</v>
      </c>
      <c r="C114" s="27" t="s">
        <v>365</v>
      </c>
      <c r="D114" s="28" t="s">
        <v>366</v>
      </c>
      <c r="E114" s="28" t="s">
        <v>74</v>
      </c>
      <c r="F114" s="28" t="s">
        <v>74</v>
      </c>
      <c r="G114" s="28" t="s">
        <v>106</v>
      </c>
      <c r="H114" s="29">
        <v>2.2273460779692</v>
      </c>
      <c r="I114" s="30">
        <v>0.0</v>
      </c>
      <c r="J114" s="30">
        <v>2.566720458080894</v>
      </c>
      <c r="K114" s="30">
        <v>6.003289473684211</v>
      </c>
      <c r="L114" s="31">
        <v>0.5431428571428571</v>
      </c>
      <c r="M114" s="31">
        <v>1.6897777777777778</v>
      </c>
      <c r="N114" s="31">
        <v>7.769666666666667</v>
      </c>
      <c r="O114" s="32" t="s">
        <v>80</v>
      </c>
      <c r="P114" s="32" t="s">
        <v>80</v>
      </c>
      <c r="Q114" s="32" t="s">
        <v>80</v>
      </c>
      <c r="R114" s="33" t="str">
        <f t="shared" si="1"/>
        <v>cap</v>
      </c>
      <c r="S114" s="34" t="str">
        <f>IFERROR(__xludf.DUMMYFUNCTION("IF(query(Data!A:M,CONCATENATE(""select Col13 where Col1 = '"",C114,""' and Col8 = 'Bias and Unfair Discrimination'""),0)&gt;70,1,0)"),"#REF!")</f>
        <v>#REF!</v>
      </c>
      <c r="T114" s="34" t="str">
        <f>IFERROR(__xludf.DUMMYFUNCTION("IF(query(Data!A:M,CONCATENATE(""select Col13 where Col1 = '"",C114,""' and Col8 = 'Childrens Rights'""),0)&gt;70,1,0)"),"#REF!")</f>
        <v>#REF!</v>
      </c>
      <c r="U114" s="34" t="str">
        <f>IFERROR(__xludf.DUMMYFUNCTION("IF(query(Data!A:M,CONCATENATE(""select Col13 where Col1 = '"",C114,""' and Col8 = 'Cultural and Linguistic Diversity'""),0)&gt;70,1,0)"),"#REF!")</f>
        <v>#REF!</v>
      </c>
      <c r="V114" s="34" t="str">
        <f>IFERROR(__xludf.DUMMYFUNCTION("IF(query(Data!A:M,CONCATENATE(""select Col13 where Col1 = '"",C114,""' and Col8 = 'Data Protection and Privacy'""),0)&gt;70,1,0)"),"#REF!")</f>
        <v>#REF!</v>
      </c>
      <c r="W114" s="34" t="str">
        <f>IFERROR(__xludf.DUMMYFUNCTION("IF(query(Data!A:M,CONCATENATE(""select Col13 where Col1 = '"",C114,""' and Col8 = 'Gender Equality'""),0)&gt;70,1,0)"),"#REF!")</f>
        <v>#REF!</v>
      </c>
      <c r="X114" s="34" t="str">
        <f>IFERROR(__xludf.DUMMYFUNCTION("IF(query(Data!A:M,CONCATENATE(""select Col13 where Col1 = '"",C114,""' and Col8 = 'Human Oversight and Determination'""),0)&gt;70,1,0)"),"#REF!")</f>
        <v>#REF!</v>
      </c>
      <c r="Y114" s="34" t="str">
        <f>IFERROR(__xludf.DUMMYFUNCTION("IF(query(Data!A:M,CONCATENATE(""select Col13 where Col1 = '"",C114,""' and Col8 = 'Labour Protection and Right to Work'""),0)&gt;70,1,0)"),"#REF!")</f>
        <v>#REF!</v>
      </c>
      <c r="Z114" s="34" t="str">
        <f>IFERROR(__xludf.DUMMYFUNCTION("IF(query(Data!A:M,CONCATENATE(""select Col13 where Col1 = '"",C114,""' and Col8 = 'Safety, Accuracy and Reliability'""),0)&gt;70,1,0)"),"#REF!")</f>
        <v>#REF!</v>
      </c>
      <c r="AA114" s="34" t="str">
        <f>IFERROR(__xludf.DUMMYFUNCTION("IF(query(Data!A:M,CONCATENATE(""select Col13 where Col1 = '"",C114,""' and Col8 = 'Transparency and Explainability'""),0)&gt;70,1,0)"),"#REF!")</f>
        <v>#REF!</v>
      </c>
      <c r="AB114" s="35">
        <f t="shared" si="2"/>
        <v>0</v>
      </c>
      <c r="AC114" s="35">
        <f t="shared" si="3"/>
        <v>0</v>
      </c>
      <c r="AD114" s="35">
        <f t="shared" si="4"/>
        <v>0</v>
      </c>
      <c r="AE114" s="35">
        <f t="shared" si="5"/>
        <v>0</v>
      </c>
      <c r="AF114" s="35">
        <f t="shared" si="6"/>
        <v>0</v>
      </c>
      <c r="AG114" s="35" t="str">
        <f t="shared" si="7"/>
        <v>No</v>
      </c>
      <c r="AH114" s="35" t="str">
        <f>IFERROR(__xludf.DUMMYFUNCTION("IFERROR(query(query(Data!A:BS,CONCATENATE(""select Col50, count(Col49) where Col1 = '"",C114,""' group by Col50"")), CONCATENATE(""select Col1 where Col2 = "",query(query(query(Data!A:BS,CONCATENATE(""select Col50, count(Col49) where Col1 = '"",C114,""' a"&amp;"nd Col50 &lt;&gt; 'Other' and Col50 is not null group by Col50"")),""select max(Col2)"",0),""Select *"",0),"" limit 1""),0))"),"")</f>
        <v/>
      </c>
      <c r="AI114" s="35" t="str">
        <f t="shared" si="8"/>
        <v/>
      </c>
      <c r="AJ114" s="35" t="str">
        <f t="shared" si="9"/>
        <v>No</v>
      </c>
      <c r="AK114" s="35" t="str">
        <f>IFERROR(__xludf.DUMMYFUNCTION("IFERROR(query(query(Data!A:BS,CONCATENATE(""select Col70, count(Col69) where Col1 = '"",C114,""' group by Col70"")), CONCATENATE(""select Col1 where Col2 = "",query(query(query(Data!A:BS,CONCATENATE(""select Col70, count(Col69) where Col1 = '"",C114,""' a"&amp;"nd Col70 &lt;&gt; 'Other' and Col70 is not null group by Col70"")),""select max(Col2)"",0),""Select *"",0),"" limit 1""),0))"),"")</f>
        <v/>
      </c>
      <c r="AL114" s="35" t="str">
        <f t="shared" si="10"/>
        <v/>
      </c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</row>
    <row r="115">
      <c r="A115" s="25">
        <v>59.0</v>
      </c>
      <c r="B115" s="26" t="s">
        <v>367</v>
      </c>
      <c r="C115" s="27" t="s">
        <v>368</v>
      </c>
      <c r="D115" s="28" t="s">
        <v>369</v>
      </c>
      <c r="E115" s="28" t="s">
        <v>74</v>
      </c>
      <c r="F115" s="28" t="s">
        <v>74</v>
      </c>
      <c r="G115" s="28" t="s">
        <v>106</v>
      </c>
      <c r="H115" s="29">
        <v>18.090439903526978</v>
      </c>
      <c r="I115" s="30">
        <v>29.739738556376672</v>
      </c>
      <c r="J115" s="30">
        <v>14.47895988665129</v>
      </c>
      <c r="K115" s="30">
        <v>2.014802631578947</v>
      </c>
      <c r="L115" s="31">
        <v>11.937857142857142</v>
      </c>
      <c r="M115" s="31">
        <v>22.918444444444443</v>
      </c>
      <c r="N115" s="31">
        <v>17.963333333333335</v>
      </c>
      <c r="O115" s="32" t="s">
        <v>54</v>
      </c>
      <c r="P115" s="32" t="s">
        <v>54</v>
      </c>
      <c r="Q115" s="32" t="s">
        <v>49</v>
      </c>
      <c r="R115" s="33" t="str">
        <f t="shared" si="1"/>
        <v>gob</v>
      </c>
      <c r="S115" s="34" t="str">
        <f>IFERROR(__xludf.DUMMYFUNCTION("IF(query(Data!A:M,CONCATENATE(""select Col13 where Col1 = '"",C115,""' and Col8 = 'Bias and Unfair Discrimination'""),0)&gt;70,1,0)"),"#REF!")</f>
        <v>#REF!</v>
      </c>
      <c r="T115" s="34" t="str">
        <f>IFERROR(__xludf.DUMMYFUNCTION("IF(query(Data!A:M,CONCATENATE(""select Col13 where Col1 = '"",C115,""' and Col8 = 'Childrens Rights'""),0)&gt;70,1,0)"),"#REF!")</f>
        <v>#REF!</v>
      </c>
      <c r="U115" s="34" t="str">
        <f>IFERROR(__xludf.DUMMYFUNCTION("IF(query(Data!A:M,CONCATENATE(""select Col13 where Col1 = '"",C115,""' and Col8 = 'Cultural and Linguistic Diversity'""),0)&gt;70,1,0)"),"#REF!")</f>
        <v>#REF!</v>
      </c>
      <c r="V115" s="34" t="str">
        <f>IFERROR(__xludf.DUMMYFUNCTION("IF(query(Data!A:M,CONCATENATE(""select Col13 where Col1 = '"",C115,""' and Col8 = 'Data Protection and Privacy'""),0)&gt;70,1,0)"),"#REF!")</f>
        <v>#REF!</v>
      </c>
      <c r="W115" s="34" t="str">
        <f>IFERROR(__xludf.DUMMYFUNCTION("IF(query(Data!A:M,CONCATENATE(""select Col13 where Col1 = '"",C115,""' and Col8 = 'Gender Equality'""),0)&gt;70,1,0)"),"#REF!")</f>
        <v>#REF!</v>
      </c>
      <c r="X115" s="34" t="str">
        <f>IFERROR(__xludf.DUMMYFUNCTION("IF(query(Data!A:M,CONCATENATE(""select Col13 where Col1 = '"",C115,""' and Col8 = 'Human Oversight and Determination'""),0)&gt;70,1,0)"),"#REF!")</f>
        <v>#REF!</v>
      </c>
      <c r="Y115" s="34" t="str">
        <f>IFERROR(__xludf.DUMMYFUNCTION("IF(query(Data!A:M,CONCATENATE(""select Col13 where Col1 = '"",C115,""' and Col8 = 'Labour Protection and Right to Work'""),0)&gt;70,1,0)"),"#REF!")</f>
        <v>#REF!</v>
      </c>
      <c r="Z115" s="34" t="str">
        <f>IFERROR(__xludf.DUMMYFUNCTION("IF(query(Data!A:M,CONCATENATE(""select Col13 where Col1 = '"",C115,""' and Col8 = 'Safety, Accuracy and Reliability'""),0)&gt;70,1,0)"),"#REF!")</f>
        <v>#REF!</v>
      </c>
      <c r="AA115" s="34" t="str">
        <f>IFERROR(__xludf.DUMMYFUNCTION("IF(query(Data!A:M,CONCATENATE(""select Col13 where Col1 = '"",C115,""' and Col8 = 'Transparency and Explainability'""),0)&gt;70,1,0)"),"#REF!")</f>
        <v>#REF!</v>
      </c>
      <c r="AB115" s="35">
        <f t="shared" si="2"/>
        <v>0</v>
      </c>
      <c r="AC115" s="35">
        <f t="shared" si="3"/>
        <v>0</v>
      </c>
      <c r="AD115" s="35">
        <f t="shared" si="4"/>
        <v>0</v>
      </c>
      <c r="AE115" s="35">
        <f t="shared" si="5"/>
        <v>0</v>
      </c>
      <c r="AF115" s="35">
        <f t="shared" si="6"/>
        <v>0</v>
      </c>
      <c r="AG115" s="35" t="str">
        <f t="shared" si="7"/>
        <v>No</v>
      </c>
      <c r="AH115" s="35" t="str">
        <f>IFERROR(__xludf.DUMMYFUNCTION("IFERROR(query(query(Data!A:BS,CONCATENATE(""select Col50, count(Col49) where Col1 = '"",C115,""' group by Col50"")), CONCATENATE(""select Col1 where Col2 = "",query(query(query(Data!A:BS,CONCATENATE(""select Col50, count(Col49) where Col1 = '"",C115,""' a"&amp;"nd Col50 &lt;&gt; 'Other' and Col50 is not null group by Col50"")),""select max(Col2)"",0),""Select *"",0),"" limit 1""),0))"),"")</f>
        <v/>
      </c>
      <c r="AI115" s="35" t="str">
        <f t="shared" si="8"/>
        <v/>
      </c>
      <c r="AJ115" s="35" t="str">
        <f t="shared" si="9"/>
        <v>No</v>
      </c>
      <c r="AK115" s="35" t="str">
        <f>IFERROR(__xludf.DUMMYFUNCTION("IFERROR(query(query(Data!A:BS,CONCATENATE(""select Col70, count(Col69) where Col1 = '"",C115,""' group by Col70"")), CONCATENATE(""select Col1 where Col2 = "",query(query(query(Data!A:BS,CONCATENATE(""select Col70, count(Col69) where Col1 = '"",C115,""' a"&amp;"nd Col70 &lt;&gt; 'Other' and Col70 is not null group by Col70"")),""select max(Col2)"",0),""Select *"",0),"" limit 1""),0))"),"")</f>
        <v/>
      </c>
      <c r="AL115" s="35" t="str">
        <f t="shared" si="10"/>
        <v/>
      </c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</row>
    <row r="116">
      <c r="A116" s="25">
        <v>22.0</v>
      </c>
      <c r="B116" s="26" t="s">
        <v>370</v>
      </c>
      <c r="C116" s="27" t="s">
        <v>371</v>
      </c>
      <c r="D116" s="28" t="s">
        <v>372</v>
      </c>
      <c r="E116" s="28" t="s">
        <v>52</v>
      </c>
      <c r="F116" s="28" t="s">
        <v>52</v>
      </c>
      <c r="G116" s="28" t="s">
        <v>110</v>
      </c>
      <c r="H116" s="29">
        <v>42.10959758290074</v>
      </c>
      <c r="I116" s="30">
        <v>26.610600973430437</v>
      </c>
      <c r="J116" s="30">
        <v>55.80840394873368</v>
      </c>
      <c r="K116" s="30">
        <v>45.70997807017544</v>
      </c>
      <c r="L116" s="31">
        <v>36.96357142857143</v>
      </c>
      <c r="M116" s="31">
        <v>48.62511111111112</v>
      </c>
      <c r="N116" s="31">
        <v>34.57066666666667</v>
      </c>
      <c r="O116" s="32" t="s">
        <v>54</v>
      </c>
      <c r="P116" s="32" t="s">
        <v>54</v>
      </c>
      <c r="Q116" s="32" t="s">
        <v>59</v>
      </c>
      <c r="R116" s="33" t="str">
        <f t="shared" si="1"/>
        <v>gob</v>
      </c>
      <c r="S116" s="34" t="str">
        <f>IFERROR(__xludf.DUMMYFUNCTION("IF(query(Data!A:M,CONCATENATE(""select Col13 where Col1 = '"",C116,""' and Col8 = 'Bias and Unfair Discrimination'""),0)&gt;70,1,0)"),"#REF!")</f>
        <v>#REF!</v>
      </c>
      <c r="T116" s="34" t="str">
        <f>IFERROR(__xludf.DUMMYFUNCTION("IF(query(Data!A:M,CONCATENATE(""select Col13 where Col1 = '"",C116,""' and Col8 = 'Childrens Rights'""),0)&gt;70,1,0)"),"#REF!")</f>
        <v>#REF!</v>
      </c>
      <c r="U116" s="34" t="str">
        <f>IFERROR(__xludf.DUMMYFUNCTION("IF(query(Data!A:M,CONCATENATE(""select Col13 where Col1 = '"",C116,""' and Col8 = 'Cultural and Linguistic Diversity'""),0)&gt;70,1,0)"),"#REF!")</f>
        <v>#REF!</v>
      </c>
      <c r="V116" s="34" t="str">
        <f>IFERROR(__xludf.DUMMYFUNCTION("IF(query(Data!A:M,CONCATENATE(""select Col13 where Col1 = '"",C116,""' and Col8 = 'Data Protection and Privacy'""),0)&gt;70,1,0)"),"#REF!")</f>
        <v>#REF!</v>
      </c>
      <c r="W116" s="34" t="str">
        <f>IFERROR(__xludf.DUMMYFUNCTION("IF(query(Data!A:M,CONCATENATE(""select Col13 where Col1 = '"",C116,""' and Col8 = 'Gender Equality'""),0)&gt;70,1,0)"),"#REF!")</f>
        <v>#REF!</v>
      </c>
      <c r="X116" s="34" t="str">
        <f>IFERROR(__xludf.DUMMYFUNCTION("IF(query(Data!A:M,CONCATENATE(""select Col13 where Col1 = '"",C116,""' and Col8 = 'Human Oversight and Determination'""),0)&gt;70,1,0)"),"#REF!")</f>
        <v>#REF!</v>
      </c>
      <c r="Y116" s="34" t="str">
        <f>IFERROR(__xludf.DUMMYFUNCTION("IF(query(Data!A:M,CONCATENATE(""select Col13 where Col1 = '"",C116,""' and Col8 = 'Labour Protection and Right to Work'""),0)&gt;70,1,0)"),"#REF!")</f>
        <v>#REF!</v>
      </c>
      <c r="Z116" s="34" t="str">
        <f>IFERROR(__xludf.DUMMYFUNCTION("IF(query(Data!A:M,CONCATENATE(""select Col13 where Col1 = '"",C116,""' and Col8 = 'Safety, Accuracy and Reliability'""),0)&gt;70,1,0)"),"#REF!")</f>
        <v>#REF!</v>
      </c>
      <c r="AA116" s="34" t="str">
        <f>IFERROR(__xludf.DUMMYFUNCTION("IF(query(Data!A:M,CONCATENATE(""select Col13 where Col1 = '"",C116,""' and Col8 = 'Transparency and Explainability'""),0)&gt;70,1,0)"),"#REF!")</f>
        <v>#REF!</v>
      </c>
      <c r="AB116" s="35">
        <f t="shared" si="2"/>
        <v>0</v>
      </c>
      <c r="AC116" s="35">
        <f t="shared" si="3"/>
        <v>0</v>
      </c>
      <c r="AD116" s="35">
        <f t="shared" si="4"/>
        <v>0</v>
      </c>
      <c r="AE116" s="35">
        <f t="shared" si="5"/>
        <v>0</v>
      </c>
      <c r="AF116" s="35">
        <f t="shared" si="6"/>
        <v>0</v>
      </c>
      <c r="AG116" s="35" t="str">
        <f t="shared" si="7"/>
        <v>No</v>
      </c>
      <c r="AH116" s="35" t="str">
        <f>IFERROR(__xludf.DUMMYFUNCTION("IFERROR(query(query(Data!A:BS,CONCATENATE(""select Col50, count(Col49) where Col1 = '"",C116,""' group by Col50"")), CONCATENATE(""select Col1 where Col2 = "",query(query(query(Data!A:BS,CONCATENATE(""select Col50, count(Col49) where Col1 = '"",C116,""' a"&amp;"nd Col50 &lt;&gt; 'Other' and Col50 is not null group by Col50"")),""select max(Col2)"",0),""Select *"",0),"" limit 1""),0))"),"")</f>
        <v/>
      </c>
      <c r="AI116" s="35" t="str">
        <f t="shared" si="8"/>
        <v/>
      </c>
      <c r="AJ116" s="35" t="str">
        <f t="shared" si="9"/>
        <v>No</v>
      </c>
      <c r="AK116" s="35" t="str">
        <f>IFERROR(__xludf.DUMMYFUNCTION("IFERROR(query(query(Data!A:BS,CONCATENATE(""select Col70, count(Col69) where Col1 = '"",C116,""' group by Col70"")), CONCATENATE(""select Col1 where Col2 = "",query(query(query(Data!A:BS,CONCATENATE(""select Col70, count(Col69) where Col1 = '"",C116,""' a"&amp;"nd Col70 &lt;&gt; 'Other' and Col70 is not null group by Col70"")),""select max(Col2)"",0),""Select *"",0),"" limit 1""),0))"),"")</f>
        <v/>
      </c>
      <c r="AL116" s="35" t="str">
        <f t="shared" si="10"/>
        <v/>
      </c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</row>
    <row r="117">
      <c r="A117" s="25">
        <v>100.0</v>
      </c>
      <c r="B117" s="26" t="s">
        <v>373</v>
      </c>
      <c r="C117" s="27" t="s">
        <v>374</v>
      </c>
      <c r="D117" s="28" t="s">
        <v>375</v>
      </c>
      <c r="E117" s="28" t="s">
        <v>63</v>
      </c>
      <c r="F117" s="28" t="s">
        <v>64</v>
      </c>
      <c r="G117" s="28" t="s">
        <v>65</v>
      </c>
      <c r="H117" s="29">
        <v>3.335257318061695</v>
      </c>
      <c r="I117" s="30">
        <v>0.0</v>
      </c>
      <c r="J117" s="30">
        <v>6.624875751294589</v>
      </c>
      <c r="K117" s="30">
        <v>3.426535087719298</v>
      </c>
      <c r="L117" s="31">
        <v>0.0</v>
      </c>
      <c r="M117" s="31">
        <v>0.0</v>
      </c>
      <c r="N117" s="31">
        <v>21.123333333333335</v>
      </c>
      <c r="O117" s="32" t="s">
        <v>54</v>
      </c>
      <c r="P117" s="32" t="s">
        <v>54</v>
      </c>
      <c r="Q117" s="32" t="s">
        <v>59</v>
      </c>
      <c r="R117" s="33" t="str">
        <f t="shared" si="1"/>
        <v>cap</v>
      </c>
      <c r="S117" s="34" t="str">
        <f>IFERROR(__xludf.DUMMYFUNCTION("IF(query(Data!A:M,CONCATENATE(""select Col13 where Col1 = '"",C117,""' and Col8 = 'Bias and Unfair Discrimination'""),0)&gt;70,1,0)"),"#REF!")</f>
        <v>#REF!</v>
      </c>
      <c r="T117" s="34" t="str">
        <f>IFERROR(__xludf.DUMMYFUNCTION("IF(query(Data!A:M,CONCATENATE(""select Col13 where Col1 = '"",C117,""' and Col8 = 'Childrens Rights'""),0)&gt;70,1,0)"),"#REF!")</f>
        <v>#REF!</v>
      </c>
      <c r="U117" s="34" t="str">
        <f>IFERROR(__xludf.DUMMYFUNCTION("IF(query(Data!A:M,CONCATENATE(""select Col13 where Col1 = '"",C117,""' and Col8 = 'Cultural and Linguistic Diversity'""),0)&gt;70,1,0)"),"#REF!")</f>
        <v>#REF!</v>
      </c>
      <c r="V117" s="34" t="str">
        <f>IFERROR(__xludf.DUMMYFUNCTION("IF(query(Data!A:M,CONCATENATE(""select Col13 where Col1 = '"",C117,""' and Col8 = 'Data Protection and Privacy'""),0)&gt;70,1,0)"),"#REF!")</f>
        <v>#REF!</v>
      </c>
      <c r="W117" s="34" t="str">
        <f>IFERROR(__xludf.DUMMYFUNCTION("IF(query(Data!A:M,CONCATENATE(""select Col13 where Col1 = '"",C117,""' and Col8 = 'Gender Equality'""),0)&gt;70,1,0)"),"#REF!")</f>
        <v>#REF!</v>
      </c>
      <c r="X117" s="34" t="str">
        <f>IFERROR(__xludf.DUMMYFUNCTION("IF(query(Data!A:M,CONCATENATE(""select Col13 where Col1 = '"",C117,""' and Col8 = 'Human Oversight and Determination'""),0)&gt;70,1,0)"),"#REF!")</f>
        <v>#REF!</v>
      </c>
      <c r="Y117" s="34" t="str">
        <f>IFERROR(__xludf.DUMMYFUNCTION("IF(query(Data!A:M,CONCATENATE(""select Col13 where Col1 = '"",C117,""' and Col8 = 'Labour Protection and Right to Work'""),0)&gt;70,1,0)"),"#REF!")</f>
        <v>#REF!</v>
      </c>
      <c r="Z117" s="34" t="str">
        <f>IFERROR(__xludf.DUMMYFUNCTION("IF(query(Data!A:M,CONCATENATE(""select Col13 where Col1 = '"",C117,""' and Col8 = 'Safety, Accuracy and Reliability'""),0)&gt;70,1,0)"),"#REF!")</f>
        <v>#REF!</v>
      </c>
      <c r="AA117" s="34" t="str">
        <f>IFERROR(__xludf.DUMMYFUNCTION("IF(query(Data!A:M,CONCATENATE(""select Col13 where Col1 = '"",C117,""' and Col8 = 'Transparency and Explainability'""),0)&gt;70,1,0)"),"#REF!")</f>
        <v>#REF!</v>
      </c>
      <c r="AB117" s="35">
        <f t="shared" si="2"/>
        <v>0</v>
      </c>
      <c r="AC117" s="35">
        <f t="shared" si="3"/>
        <v>0</v>
      </c>
      <c r="AD117" s="35">
        <f t="shared" si="4"/>
        <v>0</v>
      </c>
      <c r="AE117" s="35">
        <f t="shared" si="5"/>
        <v>0</v>
      </c>
      <c r="AF117" s="35">
        <f t="shared" si="6"/>
        <v>0</v>
      </c>
      <c r="AG117" s="35" t="str">
        <f t="shared" si="7"/>
        <v>No</v>
      </c>
      <c r="AH117" s="35" t="str">
        <f>IFERROR(__xludf.DUMMYFUNCTION("IFERROR(query(query(Data!A:BS,CONCATENATE(""select Col50, count(Col49) where Col1 = '"",C117,""' group by Col50"")), CONCATENATE(""select Col1 where Col2 = "",query(query(query(Data!A:BS,CONCATENATE(""select Col50, count(Col49) where Col1 = '"",C117,""' a"&amp;"nd Col50 &lt;&gt; 'Other' and Col50 is not null group by Col50"")),""select max(Col2)"",0),""Select *"",0),"" limit 1""),0))"),"")</f>
        <v/>
      </c>
      <c r="AI117" s="35" t="str">
        <f t="shared" si="8"/>
        <v/>
      </c>
      <c r="AJ117" s="35" t="str">
        <f t="shared" si="9"/>
        <v>No</v>
      </c>
      <c r="AK117" s="35" t="str">
        <f>IFERROR(__xludf.DUMMYFUNCTION("IFERROR(query(query(Data!A:BS,CONCATENATE(""select Col70, count(Col69) where Col1 = '"",C117,""' group by Col70"")), CONCATENATE(""select Col1 where Col2 = "",query(query(query(Data!A:BS,CONCATENATE(""select Col70, count(Col69) where Col1 = '"",C117,""' a"&amp;"nd Col70 &lt;&gt; 'Other' and Col70 is not null group by Col70"")),""select max(Col2)"",0),""Select *"",0),"" limit 1""),0))"),"")</f>
        <v/>
      </c>
      <c r="AL117" s="35" t="str">
        <f t="shared" si="10"/>
        <v/>
      </c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</row>
    <row r="118">
      <c r="A118" s="25">
        <v>56.0</v>
      </c>
      <c r="B118" s="26" t="s">
        <v>376</v>
      </c>
      <c r="C118" s="27" t="s">
        <v>377</v>
      </c>
      <c r="D118" s="28" t="s">
        <v>377</v>
      </c>
      <c r="E118" s="28" t="s">
        <v>74</v>
      </c>
      <c r="F118" s="28" t="s">
        <v>74</v>
      </c>
      <c r="G118" s="28" t="s">
        <v>106</v>
      </c>
      <c r="H118" s="29">
        <v>20.10821137679251</v>
      </c>
      <c r="I118" s="30">
        <v>26.756454969707292</v>
      </c>
      <c r="J118" s="30">
        <v>13.337264261747661</v>
      </c>
      <c r="K118" s="30">
        <v>20.35361842105263</v>
      </c>
      <c r="L118" s="31">
        <v>16.739857142857144</v>
      </c>
      <c r="M118" s="31">
        <v>22.886333333333333</v>
      </c>
      <c r="N118" s="31">
        <v>19.63233333333333</v>
      </c>
      <c r="O118" s="32" t="s">
        <v>80</v>
      </c>
      <c r="P118" s="32" t="s">
        <v>54</v>
      </c>
      <c r="Q118" s="32" t="s">
        <v>54</v>
      </c>
      <c r="R118" s="33" t="str">
        <f t="shared" si="1"/>
        <v>gob</v>
      </c>
      <c r="S118" s="34" t="str">
        <f>IFERROR(__xludf.DUMMYFUNCTION("IF(query(Data!A:M,CONCATENATE(""select Col13 where Col1 = '"",C118,""' and Col8 = 'Bias and Unfair Discrimination'""),0)&gt;70,1,0)"),"#REF!")</f>
        <v>#REF!</v>
      </c>
      <c r="T118" s="34" t="str">
        <f>IFERROR(__xludf.DUMMYFUNCTION("IF(query(Data!A:M,CONCATENATE(""select Col13 where Col1 = '"",C118,""' and Col8 = 'Childrens Rights'""),0)&gt;70,1,0)"),"#REF!")</f>
        <v>#REF!</v>
      </c>
      <c r="U118" s="34" t="str">
        <f>IFERROR(__xludf.DUMMYFUNCTION("IF(query(Data!A:M,CONCATENATE(""select Col13 where Col1 = '"",C118,""' and Col8 = 'Cultural and Linguistic Diversity'""),0)&gt;70,1,0)"),"#REF!")</f>
        <v>#REF!</v>
      </c>
      <c r="V118" s="34" t="str">
        <f>IFERROR(__xludf.DUMMYFUNCTION("IF(query(Data!A:M,CONCATENATE(""select Col13 where Col1 = '"",C118,""' and Col8 = 'Data Protection and Privacy'""),0)&gt;70,1,0)"),"#REF!")</f>
        <v>#REF!</v>
      </c>
      <c r="W118" s="34" t="str">
        <f>IFERROR(__xludf.DUMMYFUNCTION("IF(query(Data!A:M,CONCATENATE(""select Col13 where Col1 = '"",C118,""' and Col8 = 'Gender Equality'""),0)&gt;70,1,0)"),"#REF!")</f>
        <v>#REF!</v>
      </c>
      <c r="X118" s="34" t="str">
        <f>IFERROR(__xludf.DUMMYFUNCTION("IF(query(Data!A:M,CONCATENATE(""select Col13 where Col1 = '"",C118,""' and Col8 = 'Human Oversight and Determination'""),0)&gt;70,1,0)"),"#REF!")</f>
        <v>#REF!</v>
      </c>
      <c r="Y118" s="34" t="str">
        <f>IFERROR(__xludf.DUMMYFUNCTION("IF(query(Data!A:M,CONCATENATE(""select Col13 where Col1 = '"",C118,""' and Col8 = 'Labour Protection and Right to Work'""),0)&gt;70,1,0)"),"#REF!")</f>
        <v>#REF!</v>
      </c>
      <c r="Z118" s="34" t="str">
        <f>IFERROR(__xludf.DUMMYFUNCTION("IF(query(Data!A:M,CONCATENATE(""select Col13 where Col1 = '"",C118,""' and Col8 = 'Safety, Accuracy and Reliability'""),0)&gt;70,1,0)"),"#REF!")</f>
        <v>#REF!</v>
      </c>
      <c r="AA118" s="34" t="str">
        <f>IFERROR(__xludf.DUMMYFUNCTION("IF(query(Data!A:M,CONCATENATE(""select Col13 where Col1 = '"",C118,""' and Col8 = 'Transparency and Explainability'""),0)&gt;70,1,0)"),"#REF!")</f>
        <v>#REF!</v>
      </c>
      <c r="AB118" s="35">
        <f t="shared" si="2"/>
        <v>0</v>
      </c>
      <c r="AC118" s="35">
        <f t="shared" si="3"/>
        <v>0</v>
      </c>
      <c r="AD118" s="35">
        <f t="shared" si="4"/>
        <v>0</v>
      </c>
      <c r="AE118" s="35">
        <f t="shared" si="5"/>
        <v>0</v>
      </c>
      <c r="AF118" s="35">
        <f t="shared" si="6"/>
        <v>0</v>
      </c>
      <c r="AG118" s="35" t="str">
        <f t="shared" si="7"/>
        <v>No</v>
      </c>
      <c r="AH118" s="35" t="str">
        <f>IFERROR(__xludf.DUMMYFUNCTION("IFERROR(query(query(Data!A:BS,CONCATENATE(""select Col50, count(Col49) where Col1 = '"",C118,""' group by Col50"")), CONCATENATE(""select Col1 where Col2 = "",query(query(query(Data!A:BS,CONCATENATE(""select Col50, count(Col49) where Col1 = '"",C118,""' a"&amp;"nd Col50 &lt;&gt; 'Other' and Col50 is not null group by Col50"")),""select max(Col2)"",0),""Select *"",0),"" limit 1""),0))"),"")</f>
        <v/>
      </c>
      <c r="AI118" s="35" t="str">
        <f t="shared" si="8"/>
        <v/>
      </c>
      <c r="AJ118" s="35" t="str">
        <f t="shared" si="9"/>
        <v>No</v>
      </c>
      <c r="AK118" s="35" t="str">
        <f>IFERROR(__xludf.DUMMYFUNCTION("IFERROR(query(query(Data!A:BS,CONCATENATE(""select Col70, count(Col69) where Col1 = '"",C118,""' group by Col70"")), CONCATENATE(""select Col1 where Col2 = "",query(query(query(Data!A:BS,CONCATENATE(""select Col70, count(Col69) where Col1 = '"",C118,""' a"&amp;"nd Col70 &lt;&gt; 'Other' and Col70 is not null group by Col70"")),""select max(Col2)"",0),""Select *"",0),"" limit 1""),0))"),"")</f>
        <v/>
      </c>
      <c r="AL118" s="35" t="str">
        <f t="shared" si="10"/>
        <v/>
      </c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</row>
    <row r="119">
      <c r="A119" s="25">
        <v>55.0</v>
      </c>
      <c r="B119" s="26" t="s">
        <v>378</v>
      </c>
      <c r="C119" s="27" t="s">
        <v>379</v>
      </c>
      <c r="D119" s="28" t="s">
        <v>379</v>
      </c>
      <c r="E119" s="28" t="s">
        <v>52</v>
      </c>
      <c r="F119" s="28" t="s">
        <v>52</v>
      </c>
      <c r="G119" s="28" t="s">
        <v>53</v>
      </c>
      <c r="H119" s="29">
        <v>21.23620066358332</v>
      </c>
      <c r="I119" s="30">
        <v>29.96162271917911</v>
      </c>
      <c r="J119" s="30">
        <v>9.107497360831815</v>
      </c>
      <c r="K119" s="30">
        <v>28.04276315789473</v>
      </c>
      <c r="L119" s="31">
        <v>19.886857142857142</v>
      </c>
      <c r="M119" s="31">
        <v>22.233666666666668</v>
      </c>
      <c r="N119" s="31">
        <v>21.392666666666667</v>
      </c>
      <c r="O119" s="32" t="s">
        <v>54</v>
      </c>
      <c r="P119" s="32" t="s">
        <v>80</v>
      </c>
      <c r="Q119" s="32" t="s">
        <v>54</v>
      </c>
      <c r="R119" s="33" t="str">
        <f t="shared" si="1"/>
        <v>gob</v>
      </c>
      <c r="S119" s="34" t="str">
        <f>IFERROR(__xludf.DUMMYFUNCTION("IF(query(Data!A:M,CONCATENATE(""select Col13 where Col1 = '"",C119,""' and Col8 = 'Bias and Unfair Discrimination'""),0)&gt;70,1,0)"),"#REF!")</f>
        <v>#REF!</v>
      </c>
      <c r="T119" s="34" t="str">
        <f>IFERROR(__xludf.DUMMYFUNCTION("IF(query(Data!A:M,CONCATENATE(""select Col13 where Col1 = '"",C119,""' and Col8 = 'Childrens Rights'""),0)&gt;70,1,0)"),"#REF!")</f>
        <v>#REF!</v>
      </c>
      <c r="U119" s="34" t="str">
        <f>IFERROR(__xludf.DUMMYFUNCTION("IF(query(Data!A:M,CONCATENATE(""select Col13 where Col1 = '"",C119,""' and Col8 = 'Cultural and Linguistic Diversity'""),0)&gt;70,1,0)"),"#REF!")</f>
        <v>#REF!</v>
      </c>
      <c r="V119" s="34" t="str">
        <f>IFERROR(__xludf.DUMMYFUNCTION("IF(query(Data!A:M,CONCATENATE(""select Col13 where Col1 = '"",C119,""' and Col8 = 'Data Protection and Privacy'""),0)&gt;70,1,0)"),"#REF!")</f>
        <v>#REF!</v>
      </c>
      <c r="W119" s="34" t="str">
        <f>IFERROR(__xludf.DUMMYFUNCTION("IF(query(Data!A:M,CONCATENATE(""select Col13 where Col1 = '"",C119,""' and Col8 = 'Gender Equality'""),0)&gt;70,1,0)"),"#REF!")</f>
        <v>#REF!</v>
      </c>
      <c r="X119" s="34" t="str">
        <f>IFERROR(__xludf.DUMMYFUNCTION("IF(query(Data!A:M,CONCATENATE(""select Col13 where Col1 = '"",C119,""' and Col8 = 'Human Oversight and Determination'""),0)&gt;70,1,0)"),"#REF!")</f>
        <v>#REF!</v>
      </c>
      <c r="Y119" s="34" t="str">
        <f>IFERROR(__xludf.DUMMYFUNCTION("IF(query(Data!A:M,CONCATENATE(""select Col13 where Col1 = '"",C119,""' and Col8 = 'Labour Protection and Right to Work'""),0)&gt;70,1,0)"),"#REF!")</f>
        <v>#REF!</v>
      </c>
      <c r="Z119" s="34" t="str">
        <f>IFERROR(__xludf.DUMMYFUNCTION("IF(query(Data!A:M,CONCATENATE(""select Col13 where Col1 = '"",C119,""' and Col8 = 'Safety, Accuracy and Reliability'""),0)&gt;70,1,0)"),"#REF!")</f>
        <v>#REF!</v>
      </c>
      <c r="AA119" s="34" t="str">
        <f>IFERROR(__xludf.DUMMYFUNCTION("IF(query(Data!A:M,CONCATENATE(""select Col13 where Col1 = '"",C119,""' and Col8 = 'Transparency and Explainability'""),0)&gt;70,1,0)"),"#REF!")</f>
        <v>#REF!</v>
      </c>
      <c r="AB119" s="35">
        <f t="shared" si="2"/>
        <v>0</v>
      </c>
      <c r="AC119" s="35">
        <f t="shared" si="3"/>
        <v>0</v>
      </c>
      <c r="AD119" s="35">
        <f t="shared" si="4"/>
        <v>0</v>
      </c>
      <c r="AE119" s="35">
        <f t="shared" si="5"/>
        <v>0</v>
      </c>
      <c r="AF119" s="35">
        <f t="shared" si="6"/>
        <v>0</v>
      </c>
      <c r="AG119" s="35" t="str">
        <f t="shared" si="7"/>
        <v>No</v>
      </c>
      <c r="AH119" s="35" t="str">
        <f>IFERROR(__xludf.DUMMYFUNCTION("IFERROR(query(query(Data!A:BS,CONCATENATE(""select Col50, count(Col49) where Col1 = '"",C119,""' group by Col50"")), CONCATENATE(""select Col1 where Col2 = "",query(query(query(Data!A:BS,CONCATENATE(""select Col50, count(Col49) where Col1 = '"",C119,""' a"&amp;"nd Col50 &lt;&gt; 'Other' and Col50 is not null group by Col50"")),""select max(Col2)"",0),""Select *"",0),"" limit 1""),0))"),"")</f>
        <v/>
      </c>
      <c r="AI119" s="35" t="str">
        <f t="shared" si="8"/>
        <v/>
      </c>
      <c r="AJ119" s="35" t="str">
        <f t="shared" si="9"/>
        <v>No</v>
      </c>
      <c r="AK119" s="35" t="str">
        <f>IFERROR(__xludf.DUMMYFUNCTION("IFERROR(query(query(Data!A:BS,CONCATENATE(""select Col70, count(Col69) where Col1 = '"",C119,""' group by Col70"")), CONCATENATE(""select Col1 where Col2 = "",query(query(query(Data!A:BS,CONCATENATE(""select Col70, count(Col69) where Col1 = '"",C119,""' a"&amp;"nd Col70 &lt;&gt; 'Other' and Col70 is not null group by Col70"")),""select max(Col2)"",0),""Select *"",0),"" limit 1""),0))"),"")</f>
        <v/>
      </c>
      <c r="AL119" s="35" t="str">
        <f t="shared" si="10"/>
        <v/>
      </c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</row>
    <row r="120">
      <c r="A120" s="25">
        <v>124.0</v>
      </c>
      <c r="B120" s="26" t="s">
        <v>380</v>
      </c>
      <c r="C120" s="27" t="s">
        <v>381</v>
      </c>
      <c r="D120" s="28" t="s">
        <v>382</v>
      </c>
      <c r="E120" s="28" t="s">
        <v>74</v>
      </c>
      <c r="F120" s="28" t="s">
        <v>74</v>
      </c>
      <c r="G120" s="28" t="s">
        <v>106</v>
      </c>
      <c r="H120" s="29">
        <v>1.0299569600925111</v>
      </c>
      <c r="I120" s="30">
        <v>0.0</v>
      </c>
      <c r="J120" s="30">
        <v>1.971822224792681</v>
      </c>
      <c r="K120" s="30">
        <v>1.2061403508771928</v>
      </c>
      <c r="L120" s="31">
        <v>0.0</v>
      </c>
      <c r="M120" s="31">
        <v>0.0</v>
      </c>
      <c r="N120" s="31">
        <v>6.523000000000001</v>
      </c>
      <c r="O120" s="32" t="s">
        <v>49</v>
      </c>
      <c r="P120" s="32" t="s">
        <v>76</v>
      </c>
      <c r="Q120" s="32" t="s">
        <v>54</v>
      </c>
      <c r="R120" s="33" t="str">
        <f t="shared" si="1"/>
        <v>cap</v>
      </c>
      <c r="S120" s="34" t="str">
        <f>IFERROR(__xludf.DUMMYFUNCTION("IF(query(Data!A:M,CONCATENATE(""select Col13 where Col1 = '"",C120,""' and Col8 = 'Bias and Unfair Discrimination'""),0)&gt;70,1,0)"),"#REF!")</f>
        <v>#REF!</v>
      </c>
      <c r="T120" s="34" t="str">
        <f>IFERROR(__xludf.DUMMYFUNCTION("IF(query(Data!A:M,CONCATENATE(""select Col13 where Col1 = '"",C120,""' and Col8 = 'Childrens Rights'""),0)&gt;70,1,0)"),"#REF!")</f>
        <v>#REF!</v>
      </c>
      <c r="U120" s="34" t="str">
        <f>IFERROR(__xludf.DUMMYFUNCTION("IF(query(Data!A:M,CONCATENATE(""select Col13 where Col1 = '"",C120,""' and Col8 = 'Cultural and Linguistic Diversity'""),0)&gt;70,1,0)"),"#REF!")</f>
        <v>#REF!</v>
      </c>
      <c r="V120" s="34" t="str">
        <f>IFERROR(__xludf.DUMMYFUNCTION("IF(query(Data!A:M,CONCATENATE(""select Col13 where Col1 = '"",C120,""' and Col8 = 'Data Protection and Privacy'""),0)&gt;70,1,0)"),"#REF!")</f>
        <v>#REF!</v>
      </c>
      <c r="W120" s="34" t="str">
        <f>IFERROR(__xludf.DUMMYFUNCTION("IF(query(Data!A:M,CONCATENATE(""select Col13 where Col1 = '"",C120,""' and Col8 = 'Gender Equality'""),0)&gt;70,1,0)"),"#REF!")</f>
        <v>#REF!</v>
      </c>
      <c r="X120" s="34" t="str">
        <f>IFERROR(__xludf.DUMMYFUNCTION("IF(query(Data!A:M,CONCATENATE(""select Col13 where Col1 = '"",C120,""' and Col8 = 'Human Oversight and Determination'""),0)&gt;70,1,0)"),"#REF!")</f>
        <v>#REF!</v>
      </c>
      <c r="Y120" s="34" t="str">
        <f>IFERROR(__xludf.DUMMYFUNCTION("IF(query(Data!A:M,CONCATENATE(""select Col13 where Col1 = '"",C120,""' and Col8 = 'Labour Protection and Right to Work'""),0)&gt;70,1,0)"),"#REF!")</f>
        <v>#REF!</v>
      </c>
      <c r="Z120" s="34" t="str">
        <f>IFERROR(__xludf.DUMMYFUNCTION("IF(query(Data!A:M,CONCATENATE(""select Col13 where Col1 = '"",C120,""' and Col8 = 'Safety, Accuracy and Reliability'""),0)&gt;70,1,0)"),"#REF!")</f>
        <v>#REF!</v>
      </c>
      <c r="AA120" s="34" t="str">
        <f>IFERROR(__xludf.DUMMYFUNCTION("IF(query(Data!A:M,CONCATENATE(""select Col13 where Col1 = '"",C120,""' and Col8 = 'Transparency and Explainability'""),0)&gt;70,1,0)"),"#REF!")</f>
        <v>#REF!</v>
      </c>
      <c r="AB120" s="35">
        <f t="shared" si="2"/>
        <v>0</v>
      </c>
      <c r="AC120" s="35">
        <f t="shared" si="3"/>
        <v>0</v>
      </c>
      <c r="AD120" s="35">
        <f t="shared" si="4"/>
        <v>0</v>
      </c>
      <c r="AE120" s="35">
        <f t="shared" si="5"/>
        <v>0</v>
      </c>
      <c r="AF120" s="35">
        <f t="shared" si="6"/>
        <v>0</v>
      </c>
      <c r="AG120" s="35" t="str">
        <f t="shared" si="7"/>
        <v>No</v>
      </c>
      <c r="AH120" s="35" t="str">
        <f>IFERROR(__xludf.DUMMYFUNCTION("IFERROR(query(query(Data!A:BS,CONCATENATE(""select Col50, count(Col49) where Col1 = '"",C120,""' group by Col50"")), CONCATENATE(""select Col1 where Col2 = "",query(query(query(Data!A:BS,CONCATENATE(""select Col50, count(Col49) where Col1 = '"",C120,""' a"&amp;"nd Col50 &lt;&gt; 'Other' and Col50 is not null group by Col50"")),""select max(Col2)"",0),""Select *"",0),"" limit 1""),0))"),"")</f>
        <v/>
      </c>
      <c r="AI120" s="35" t="str">
        <f t="shared" si="8"/>
        <v/>
      </c>
      <c r="AJ120" s="35" t="str">
        <f t="shared" si="9"/>
        <v>No</v>
      </c>
      <c r="AK120" s="35" t="str">
        <f>IFERROR(__xludf.DUMMYFUNCTION("IFERROR(query(query(Data!A:BS,CONCATENATE(""select Col70, count(Col69) where Col1 = '"",C120,""' group by Col70"")), CONCATENATE(""select Col1 where Col2 = "",query(query(query(Data!A:BS,CONCATENATE(""select Col70, count(Col69) where Col1 = '"",C120,""' a"&amp;"nd Col70 &lt;&gt; 'Other' and Col70 is not null group by Col70"")),""select max(Col2)"",0),""Select *"",0),"" limit 1""),0))"),"")</f>
        <v/>
      </c>
      <c r="AL120" s="35" t="str">
        <f t="shared" si="10"/>
        <v/>
      </c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</row>
    <row r="121">
      <c r="A121" s="25">
        <v>11.0</v>
      </c>
      <c r="B121" s="26" t="s">
        <v>383</v>
      </c>
      <c r="C121" s="27" t="s">
        <v>384</v>
      </c>
      <c r="D121" s="28" t="s">
        <v>385</v>
      </c>
      <c r="E121" s="28" t="s">
        <v>46</v>
      </c>
      <c r="F121" s="28" t="s">
        <v>47</v>
      </c>
      <c r="G121" s="28" t="s">
        <v>132</v>
      </c>
      <c r="H121" s="29">
        <v>53.77011969382303</v>
      </c>
      <c r="I121" s="30">
        <v>43.70448505669309</v>
      </c>
      <c r="J121" s="30">
        <v>70.67558391470659</v>
      </c>
      <c r="K121" s="30">
        <v>40.090460526315795</v>
      </c>
      <c r="L121" s="31">
        <v>48.3537142857143</v>
      </c>
      <c r="M121" s="31">
        <v>58.54044444444445</v>
      </c>
      <c r="N121" s="31">
        <v>52.096666666666664</v>
      </c>
      <c r="O121" s="32" t="s">
        <v>59</v>
      </c>
      <c r="P121" s="32" t="s">
        <v>59</v>
      </c>
      <c r="Q121" s="32" t="s">
        <v>80</v>
      </c>
      <c r="R121" s="33" t="str">
        <f t="shared" si="1"/>
        <v>gob</v>
      </c>
      <c r="S121" s="34" t="str">
        <f>IFERROR(__xludf.DUMMYFUNCTION("IF(query(Data!A:M,CONCATENATE(""select Col13 where Col1 = '"",C121,""' and Col8 = 'Bias and Unfair Discrimination'""),0)&gt;70,1,0)"),"#REF!")</f>
        <v>#REF!</v>
      </c>
      <c r="T121" s="34" t="str">
        <f>IFERROR(__xludf.DUMMYFUNCTION("IF(query(Data!A:M,CONCATENATE(""select Col13 where Col1 = '"",C121,""' and Col8 = 'Childrens Rights'""),0)&gt;70,1,0)"),"#REF!")</f>
        <v>#REF!</v>
      </c>
      <c r="U121" s="34" t="str">
        <f>IFERROR(__xludf.DUMMYFUNCTION("IF(query(Data!A:M,CONCATENATE(""select Col13 where Col1 = '"",C121,""' and Col8 = 'Cultural and Linguistic Diversity'""),0)&gt;70,1,0)"),"#REF!")</f>
        <v>#REF!</v>
      </c>
      <c r="V121" s="34" t="str">
        <f>IFERROR(__xludf.DUMMYFUNCTION("IF(query(Data!A:M,CONCATENATE(""select Col13 where Col1 = '"",C121,""' and Col8 = 'Data Protection and Privacy'""),0)&gt;70,1,0)"),"#REF!")</f>
        <v>#REF!</v>
      </c>
      <c r="W121" s="34" t="str">
        <f>IFERROR(__xludf.DUMMYFUNCTION("IF(query(Data!A:M,CONCATENATE(""select Col13 where Col1 = '"",C121,""' and Col8 = 'Gender Equality'""),0)&gt;70,1,0)"),"#REF!")</f>
        <v>#REF!</v>
      </c>
      <c r="X121" s="34" t="str">
        <f>IFERROR(__xludf.DUMMYFUNCTION("IF(query(Data!A:M,CONCATENATE(""select Col13 where Col1 = '"",C121,""' and Col8 = 'Human Oversight and Determination'""),0)&gt;70,1,0)"),"#REF!")</f>
        <v>#REF!</v>
      </c>
      <c r="Y121" s="34" t="str">
        <f>IFERROR(__xludf.DUMMYFUNCTION("IF(query(Data!A:M,CONCATENATE(""select Col13 where Col1 = '"",C121,""' and Col8 = 'Labour Protection and Right to Work'""),0)&gt;70,1,0)"),"#REF!")</f>
        <v>#REF!</v>
      </c>
      <c r="Z121" s="34" t="str">
        <f>IFERROR(__xludf.DUMMYFUNCTION("IF(query(Data!A:M,CONCATENATE(""select Col13 where Col1 = '"",C121,""' and Col8 = 'Safety, Accuracy and Reliability'""),0)&gt;70,1,0)"),"#REF!")</f>
        <v>#REF!</v>
      </c>
      <c r="AA121" s="34" t="str">
        <f>IFERROR(__xludf.DUMMYFUNCTION("IF(query(Data!A:M,CONCATENATE(""select Col13 where Col1 = '"",C121,""' and Col8 = 'Transparency and Explainability'""),0)&gt;70,1,0)"),"#REF!")</f>
        <v>#REF!</v>
      </c>
      <c r="AB121" s="35">
        <f t="shared" si="2"/>
        <v>0</v>
      </c>
      <c r="AC121" s="35">
        <f t="shared" si="3"/>
        <v>0</v>
      </c>
      <c r="AD121" s="35">
        <f t="shared" si="4"/>
        <v>0</v>
      </c>
      <c r="AE121" s="35">
        <f t="shared" si="5"/>
        <v>0</v>
      </c>
      <c r="AF121" s="35">
        <f t="shared" si="6"/>
        <v>0</v>
      </c>
      <c r="AG121" s="35" t="str">
        <f t="shared" si="7"/>
        <v>No</v>
      </c>
      <c r="AH121" s="35" t="str">
        <f>IFERROR(__xludf.DUMMYFUNCTION("IFERROR(query(query(Data!A:BS,CONCATENATE(""select Col50, count(Col49) where Col1 = '"",C121,""' group by Col50"")), CONCATENATE(""select Col1 where Col2 = "",query(query(query(Data!A:BS,CONCATENATE(""select Col50, count(Col49) where Col1 = '"",C121,""' a"&amp;"nd Col50 &lt;&gt; 'Other' and Col50 is not null group by Col50"")),""select max(Col2)"",0),""Select *"",0),"" limit 1""),0))"),"")</f>
        <v/>
      </c>
      <c r="AI121" s="35" t="str">
        <f t="shared" si="8"/>
        <v/>
      </c>
      <c r="AJ121" s="35" t="str">
        <f t="shared" si="9"/>
        <v>No</v>
      </c>
      <c r="AK121" s="35" t="str">
        <f>IFERROR(__xludf.DUMMYFUNCTION("IFERROR(query(query(Data!A:BS,CONCATENATE(""select Col70, count(Col69) where Col1 = '"",C121,""' group by Col70"")), CONCATENATE(""select Col1 where Col2 = "",query(query(query(Data!A:BS,CONCATENATE(""select Col70, count(Col69) where Col1 = '"",C121,""' a"&amp;"nd Col70 &lt;&gt; 'Other' and Col70 is not null group by Col70"")),""select max(Col2)"",0),""Select *"",0),"" limit 1""),0))"),"")</f>
        <v/>
      </c>
      <c r="AL121" s="35" t="str">
        <f t="shared" si="10"/>
        <v/>
      </c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</row>
    <row r="122">
      <c r="A122" s="25">
        <v>126.0</v>
      </c>
      <c r="B122" s="26" t="s">
        <v>386</v>
      </c>
      <c r="C122" s="27" t="s">
        <v>387</v>
      </c>
      <c r="D122" s="28" t="s">
        <v>387</v>
      </c>
      <c r="E122" s="28" t="s">
        <v>74</v>
      </c>
      <c r="F122" s="28" t="s">
        <v>74</v>
      </c>
      <c r="G122" s="28" t="s">
        <v>106</v>
      </c>
      <c r="H122" s="29">
        <v>0.9741807352555427</v>
      </c>
      <c r="I122" s="30">
        <v>0.0</v>
      </c>
      <c r="J122" s="30">
        <v>2.4354518381388566</v>
      </c>
      <c r="K122" s="30">
        <v>0.0</v>
      </c>
      <c r="L122" s="31">
        <v>1.3221428571428573</v>
      </c>
      <c r="M122" s="31">
        <v>0.0</v>
      </c>
      <c r="N122" s="31">
        <v>3.0850000000000004</v>
      </c>
      <c r="O122" s="32" t="s">
        <v>49</v>
      </c>
      <c r="P122" s="32" t="s">
        <v>49</v>
      </c>
      <c r="Q122" s="32" t="s">
        <v>76</v>
      </c>
      <c r="R122" s="33" t="str">
        <f t="shared" si="1"/>
        <v>cap</v>
      </c>
      <c r="S122" s="34" t="str">
        <f>IFERROR(__xludf.DUMMYFUNCTION("IF(query(Data!A:M,CONCATENATE(""select Col13 where Col1 = '"",C122,""' and Col8 = 'Bias and Unfair Discrimination'""),0)&gt;70,1,0)"),"#REF!")</f>
        <v>#REF!</v>
      </c>
      <c r="T122" s="34" t="str">
        <f>IFERROR(__xludf.DUMMYFUNCTION("IF(query(Data!A:M,CONCATENATE(""select Col13 where Col1 = '"",C122,""' and Col8 = 'Childrens Rights'""),0)&gt;70,1,0)"),"#REF!")</f>
        <v>#REF!</v>
      </c>
      <c r="U122" s="34" t="str">
        <f>IFERROR(__xludf.DUMMYFUNCTION("IF(query(Data!A:M,CONCATENATE(""select Col13 where Col1 = '"",C122,""' and Col8 = 'Cultural and Linguistic Diversity'""),0)&gt;70,1,0)"),"#REF!")</f>
        <v>#REF!</v>
      </c>
      <c r="V122" s="34" t="str">
        <f>IFERROR(__xludf.DUMMYFUNCTION("IF(query(Data!A:M,CONCATENATE(""select Col13 where Col1 = '"",C122,""' and Col8 = 'Data Protection and Privacy'""),0)&gt;70,1,0)"),"#REF!")</f>
        <v>#REF!</v>
      </c>
      <c r="W122" s="34" t="str">
        <f>IFERROR(__xludf.DUMMYFUNCTION("IF(query(Data!A:M,CONCATENATE(""select Col13 where Col1 = '"",C122,""' and Col8 = 'Gender Equality'""),0)&gt;70,1,0)"),"#REF!")</f>
        <v>#REF!</v>
      </c>
      <c r="X122" s="34" t="str">
        <f>IFERROR(__xludf.DUMMYFUNCTION("IF(query(Data!A:M,CONCATENATE(""select Col13 where Col1 = '"",C122,""' and Col8 = 'Human Oversight and Determination'""),0)&gt;70,1,0)"),"#REF!")</f>
        <v>#REF!</v>
      </c>
      <c r="Y122" s="34" t="str">
        <f>IFERROR(__xludf.DUMMYFUNCTION("IF(query(Data!A:M,CONCATENATE(""select Col13 where Col1 = '"",C122,""' and Col8 = 'Labour Protection and Right to Work'""),0)&gt;70,1,0)"),"#REF!")</f>
        <v>#REF!</v>
      </c>
      <c r="Z122" s="34" t="str">
        <f>IFERROR(__xludf.DUMMYFUNCTION("IF(query(Data!A:M,CONCATENATE(""select Col13 where Col1 = '"",C122,""' and Col8 = 'Safety, Accuracy and Reliability'""),0)&gt;70,1,0)"),"#REF!")</f>
        <v>#REF!</v>
      </c>
      <c r="AA122" s="34" t="str">
        <f>IFERROR(__xludf.DUMMYFUNCTION("IF(query(Data!A:M,CONCATENATE(""select Col13 where Col1 = '"",C122,""' and Col8 = 'Transparency and Explainability'""),0)&gt;70,1,0)"),"#REF!")</f>
        <v>#REF!</v>
      </c>
      <c r="AB122" s="35">
        <f t="shared" si="2"/>
        <v>0</v>
      </c>
      <c r="AC122" s="35">
        <f t="shared" si="3"/>
        <v>0</v>
      </c>
      <c r="AD122" s="35">
        <f t="shared" si="4"/>
        <v>0</v>
      </c>
      <c r="AE122" s="35">
        <f t="shared" si="5"/>
        <v>0</v>
      </c>
      <c r="AF122" s="35">
        <f t="shared" si="6"/>
        <v>0</v>
      </c>
      <c r="AG122" s="35" t="str">
        <f t="shared" si="7"/>
        <v>No</v>
      </c>
      <c r="AH122" s="35" t="str">
        <f>IFERROR(__xludf.DUMMYFUNCTION("IFERROR(query(query(Data!A:BS,CONCATENATE(""select Col50, count(Col49) where Col1 = '"",C122,""' group by Col50"")), CONCATENATE(""select Col1 where Col2 = "",query(query(query(Data!A:BS,CONCATENATE(""select Col50, count(Col49) where Col1 = '"",C122,""' a"&amp;"nd Col50 &lt;&gt; 'Other' and Col50 is not null group by Col50"")),""select max(Col2)"",0),""Select *"",0),"" limit 1""),0))"),"")</f>
        <v/>
      </c>
      <c r="AI122" s="35" t="str">
        <f t="shared" si="8"/>
        <v/>
      </c>
      <c r="AJ122" s="35" t="str">
        <f t="shared" si="9"/>
        <v>No</v>
      </c>
      <c r="AK122" s="35" t="str">
        <f>IFERROR(__xludf.DUMMYFUNCTION("IFERROR(query(query(Data!A:BS,CONCATENATE(""select Col70, count(Col69) where Col1 = '"",C122,""' group by Col70"")), CONCATENATE(""select Col1 where Col2 = "",query(query(query(Data!A:BS,CONCATENATE(""select Col70, count(Col69) where Col1 = '"",C122,""' a"&amp;"nd Col70 &lt;&gt; 'Other' and Col70 is not null group by Col70"")),""select max(Col2)"",0),""Select *"",0),"" limit 1""),0))"),"")</f>
        <v/>
      </c>
      <c r="AL122" s="35" t="str">
        <f t="shared" si="10"/>
        <v/>
      </c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</row>
    <row r="123">
      <c r="A123" s="25">
        <v>72.0</v>
      </c>
      <c r="B123" s="26" t="s">
        <v>388</v>
      </c>
      <c r="C123" s="27" t="s">
        <v>389</v>
      </c>
      <c r="D123" s="28" t="s">
        <v>389</v>
      </c>
      <c r="E123" s="28" t="s">
        <v>46</v>
      </c>
      <c r="F123" s="28" t="s">
        <v>47</v>
      </c>
      <c r="G123" s="28" t="s">
        <v>48</v>
      </c>
      <c r="H123" s="29">
        <v>10.920835402639291</v>
      </c>
      <c r="I123" s="30">
        <v>11.55660368266859</v>
      </c>
      <c r="J123" s="30">
        <v>10.132820350245428</v>
      </c>
      <c r="K123" s="30">
        <v>11.22532894736842</v>
      </c>
      <c r="L123" s="31">
        <v>9.949714285714284</v>
      </c>
      <c r="M123" s="31">
        <v>11.038444444444444</v>
      </c>
      <c r="N123" s="31">
        <v>12.834666666666665</v>
      </c>
      <c r="O123" s="32" t="s">
        <v>80</v>
      </c>
      <c r="P123" s="32" t="s">
        <v>80</v>
      </c>
      <c r="Q123" s="32" t="s">
        <v>54</v>
      </c>
      <c r="R123" s="33" t="str">
        <f t="shared" si="1"/>
        <v>cap</v>
      </c>
      <c r="S123" s="34" t="str">
        <f>IFERROR(__xludf.DUMMYFUNCTION("IF(query(Data!A:M,CONCATENATE(""select Col13 where Col1 = '"",C123,""' and Col8 = 'Bias and Unfair Discrimination'""),0)&gt;70,1,0)"),"#REF!")</f>
        <v>#REF!</v>
      </c>
      <c r="T123" s="34" t="str">
        <f>IFERROR(__xludf.DUMMYFUNCTION("IF(query(Data!A:M,CONCATENATE(""select Col13 where Col1 = '"",C123,""' and Col8 = 'Childrens Rights'""),0)&gt;70,1,0)"),"#REF!")</f>
        <v>#REF!</v>
      </c>
      <c r="U123" s="34" t="str">
        <f>IFERROR(__xludf.DUMMYFUNCTION("IF(query(Data!A:M,CONCATENATE(""select Col13 where Col1 = '"",C123,""' and Col8 = 'Cultural and Linguistic Diversity'""),0)&gt;70,1,0)"),"#REF!")</f>
        <v>#REF!</v>
      </c>
      <c r="V123" s="34" t="str">
        <f>IFERROR(__xludf.DUMMYFUNCTION("IF(query(Data!A:M,CONCATENATE(""select Col13 where Col1 = '"",C123,""' and Col8 = 'Data Protection and Privacy'""),0)&gt;70,1,0)"),"#REF!")</f>
        <v>#REF!</v>
      </c>
      <c r="W123" s="34" t="str">
        <f>IFERROR(__xludf.DUMMYFUNCTION("IF(query(Data!A:M,CONCATENATE(""select Col13 where Col1 = '"",C123,""' and Col8 = 'Gender Equality'""),0)&gt;70,1,0)"),"#REF!")</f>
        <v>#REF!</v>
      </c>
      <c r="X123" s="34" t="str">
        <f>IFERROR(__xludf.DUMMYFUNCTION("IF(query(Data!A:M,CONCATENATE(""select Col13 where Col1 = '"",C123,""' and Col8 = 'Human Oversight and Determination'""),0)&gt;70,1,0)"),"#REF!")</f>
        <v>#REF!</v>
      </c>
      <c r="Y123" s="34" t="str">
        <f>IFERROR(__xludf.DUMMYFUNCTION("IF(query(Data!A:M,CONCATENATE(""select Col13 where Col1 = '"",C123,""' and Col8 = 'Labour Protection and Right to Work'""),0)&gt;70,1,0)"),"#REF!")</f>
        <v>#REF!</v>
      </c>
      <c r="Z123" s="34" t="str">
        <f>IFERROR(__xludf.DUMMYFUNCTION("IF(query(Data!A:M,CONCATENATE(""select Col13 where Col1 = '"",C123,""' and Col8 = 'Safety, Accuracy and Reliability'""),0)&gt;70,1,0)"),"#REF!")</f>
        <v>#REF!</v>
      </c>
      <c r="AA123" s="34" t="str">
        <f>IFERROR(__xludf.DUMMYFUNCTION("IF(query(Data!A:M,CONCATENATE(""select Col13 where Col1 = '"",C123,""' and Col8 = 'Transparency and Explainability'""),0)&gt;70,1,0)"),"#REF!")</f>
        <v>#REF!</v>
      </c>
      <c r="AB123" s="35">
        <f t="shared" si="2"/>
        <v>0</v>
      </c>
      <c r="AC123" s="35">
        <f t="shared" si="3"/>
        <v>0</v>
      </c>
      <c r="AD123" s="35">
        <f t="shared" si="4"/>
        <v>0</v>
      </c>
      <c r="AE123" s="35">
        <f t="shared" si="5"/>
        <v>0</v>
      </c>
      <c r="AF123" s="35">
        <f t="shared" si="6"/>
        <v>0</v>
      </c>
      <c r="AG123" s="35" t="str">
        <f t="shared" si="7"/>
        <v>No</v>
      </c>
      <c r="AH123" s="35" t="str">
        <f>IFERROR(__xludf.DUMMYFUNCTION("IFERROR(query(query(Data!A:BS,CONCATENATE(""select Col50, count(Col49) where Col1 = '"",C123,""' group by Col50"")), CONCATENATE(""select Col1 where Col2 = "",query(query(query(Data!A:BS,CONCATENATE(""select Col50, count(Col49) where Col1 = '"",C123,""' a"&amp;"nd Col50 &lt;&gt; 'Other' and Col50 is not null group by Col50"")),""select max(Col2)"",0),""Select *"",0),"" limit 1""),0))"),"")</f>
        <v/>
      </c>
      <c r="AI123" s="35" t="str">
        <f t="shared" si="8"/>
        <v/>
      </c>
      <c r="AJ123" s="35" t="str">
        <f t="shared" si="9"/>
        <v>No</v>
      </c>
      <c r="AK123" s="35" t="str">
        <f>IFERROR(__xludf.DUMMYFUNCTION("IFERROR(query(query(Data!A:BS,CONCATENATE(""select Col70, count(Col69) where Col1 = '"",C123,""' group by Col70"")), CONCATENATE(""select Col1 where Col2 = "",query(query(query(Data!A:BS,CONCATENATE(""select Col70, count(Col69) where Col1 = '"",C123,""' a"&amp;"nd Col70 &lt;&gt; 'Other' and Col70 is not null group by Col70"")),""select max(Col2)"",0),""Select *"",0),"" limit 1""),0))"),"")</f>
        <v/>
      </c>
      <c r="AL123" s="35" t="str">
        <f t="shared" si="10"/>
        <v/>
      </c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</row>
    <row r="124">
      <c r="A124" s="25">
        <v>42.0</v>
      </c>
      <c r="B124" s="26" t="s">
        <v>390</v>
      </c>
      <c r="C124" s="27" t="s">
        <v>391</v>
      </c>
      <c r="D124" s="28" t="s">
        <v>392</v>
      </c>
      <c r="E124" s="28" t="s">
        <v>74</v>
      </c>
      <c r="F124" s="28" t="s">
        <v>74</v>
      </c>
      <c r="G124" s="28" t="s">
        <v>106</v>
      </c>
      <c r="H124" s="29">
        <v>27.61006301411411</v>
      </c>
      <c r="I124" s="30">
        <v>3.26154415231002</v>
      </c>
      <c r="J124" s="30">
        <v>31.49826250578228</v>
      </c>
      <c r="K124" s="30">
        <v>68.53070175438594</v>
      </c>
      <c r="L124" s="31">
        <v>28.92742857142857</v>
      </c>
      <c r="M124" s="31">
        <v>24.99022222222222</v>
      </c>
      <c r="N124" s="31">
        <v>32.39566666666667</v>
      </c>
      <c r="O124" s="32" t="s">
        <v>54</v>
      </c>
      <c r="P124" s="32" t="s">
        <v>80</v>
      </c>
      <c r="Q124" s="32" t="s">
        <v>59</v>
      </c>
      <c r="R124" s="33" t="str">
        <f t="shared" si="1"/>
        <v>cap</v>
      </c>
      <c r="S124" s="34" t="str">
        <f>IFERROR(__xludf.DUMMYFUNCTION("IF(query(Data!A:M,CONCATENATE(""select Col13 where Col1 = '"",C124,""' and Col8 = 'Bias and Unfair Discrimination'""),0)&gt;70,1,0)"),"#REF!")</f>
        <v>#REF!</v>
      </c>
      <c r="T124" s="34" t="str">
        <f>IFERROR(__xludf.DUMMYFUNCTION("IF(query(Data!A:M,CONCATENATE(""select Col13 where Col1 = '"",C124,""' and Col8 = 'Childrens Rights'""),0)&gt;70,1,0)"),"#REF!")</f>
        <v>#REF!</v>
      </c>
      <c r="U124" s="34" t="str">
        <f>IFERROR(__xludf.DUMMYFUNCTION("IF(query(Data!A:M,CONCATENATE(""select Col13 where Col1 = '"",C124,""' and Col8 = 'Cultural and Linguistic Diversity'""),0)&gt;70,1,0)"),"#REF!")</f>
        <v>#REF!</v>
      </c>
      <c r="V124" s="34" t="str">
        <f>IFERROR(__xludf.DUMMYFUNCTION("IF(query(Data!A:M,CONCATENATE(""select Col13 where Col1 = '"",C124,""' and Col8 = 'Data Protection and Privacy'""),0)&gt;70,1,0)"),"#REF!")</f>
        <v>#REF!</v>
      </c>
      <c r="W124" s="34" t="str">
        <f>IFERROR(__xludf.DUMMYFUNCTION("IF(query(Data!A:M,CONCATENATE(""select Col13 where Col1 = '"",C124,""' and Col8 = 'Gender Equality'""),0)&gt;70,1,0)"),"#REF!")</f>
        <v>#REF!</v>
      </c>
      <c r="X124" s="34" t="str">
        <f>IFERROR(__xludf.DUMMYFUNCTION("IF(query(Data!A:M,CONCATENATE(""select Col13 where Col1 = '"",C124,""' and Col8 = 'Human Oversight and Determination'""),0)&gt;70,1,0)"),"#REF!")</f>
        <v>#REF!</v>
      </c>
      <c r="Y124" s="34" t="str">
        <f>IFERROR(__xludf.DUMMYFUNCTION("IF(query(Data!A:M,CONCATENATE(""select Col13 where Col1 = '"",C124,""' and Col8 = 'Labour Protection and Right to Work'""),0)&gt;70,1,0)"),"#REF!")</f>
        <v>#REF!</v>
      </c>
      <c r="Z124" s="34" t="str">
        <f>IFERROR(__xludf.DUMMYFUNCTION("IF(query(Data!A:M,CONCATENATE(""select Col13 where Col1 = '"",C124,""' and Col8 = 'Safety, Accuracy and Reliability'""),0)&gt;70,1,0)"),"#REF!")</f>
        <v>#REF!</v>
      </c>
      <c r="AA124" s="34" t="str">
        <f>IFERROR(__xludf.DUMMYFUNCTION("IF(query(Data!A:M,CONCATENATE(""select Col13 where Col1 = '"",C124,""' and Col8 = 'Transparency and Explainability'""),0)&gt;70,1,0)"),"#REF!")</f>
        <v>#REF!</v>
      </c>
      <c r="AB124" s="35">
        <f t="shared" si="2"/>
        <v>0</v>
      </c>
      <c r="AC124" s="35">
        <f t="shared" si="3"/>
        <v>0</v>
      </c>
      <c r="AD124" s="35">
        <f t="shared" si="4"/>
        <v>0</v>
      </c>
      <c r="AE124" s="35">
        <f t="shared" si="5"/>
        <v>0</v>
      </c>
      <c r="AF124" s="35">
        <f t="shared" si="6"/>
        <v>0</v>
      </c>
      <c r="AG124" s="35" t="str">
        <f t="shared" si="7"/>
        <v>No</v>
      </c>
      <c r="AH124" s="35" t="str">
        <f>IFERROR(__xludf.DUMMYFUNCTION("IFERROR(query(query(Data!A:BS,CONCATENATE(""select Col50, count(Col49) where Col1 = '"",C124,""' group by Col50"")), CONCATENATE(""select Col1 where Col2 = "",query(query(query(Data!A:BS,CONCATENATE(""select Col50, count(Col49) where Col1 = '"",C124,""' a"&amp;"nd Col50 &lt;&gt; 'Other' and Col50 is not null group by Col50"")),""select max(Col2)"",0),""Select *"",0),"" limit 1""),0))"),"")</f>
        <v/>
      </c>
      <c r="AI124" s="35" t="str">
        <f t="shared" si="8"/>
        <v/>
      </c>
      <c r="AJ124" s="35" t="str">
        <f t="shared" si="9"/>
        <v>No</v>
      </c>
      <c r="AK124" s="35" t="str">
        <f>IFERROR(__xludf.DUMMYFUNCTION("IFERROR(query(query(Data!A:BS,CONCATENATE(""select Col70, count(Col69) where Col1 = '"",C124,""' group by Col70"")), CONCATENATE(""select Col1 where Col2 = "",query(query(query(Data!A:BS,CONCATENATE(""select Col70, count(Col69) where Col1 = '"",C124,""' a"&amp;"nd Col70 &lt;&gt; 'Other' and Col70 is not null group by Col70"")),""select max(Col2)"",0),""Select *"",0),"" limit 1""),0))"),"")</f>
        <v/>
      </c>
      <c r="AL124" s="35" t="str">
        <f t="shared" si="10"/>
        <v/>
      </c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</row>
    <row r="125">
      <c r="A125" s="25">
        <v>138.0</v>
      </c>
      <c r="B125" s="26" t="s">
        <v>393</v>
      </c>
      <c r="C125" s="27" t="s">
        <v>394</v>
      </c>
      <c r="D125" s="28" t="s">
        <v>395</v>
      </c>
      <c r="E125" s="28" t="s">
        <v>74</v>
      </c>
      <c r="F125" s="28" t="s">
        <v>74</v>
      </c>
      <c r="G125" s="28" t="s">
        <v>106</v>
      </c>
      <c r="H125" s="29">
        <v>0.47368421052631576</v>
      </c>
      <c r="I125" s="30">
        <v>0.0</v>
      </c>
      <c r="J125" s="30">
        <v>1.1842105263157894</v>
      </c>
      <c r="K125" s="30">
        <v>0.0</v>
      </c>
      <c r="L125" s="31">
        <v>0.0</v>
      </c>
      <c r="M125" s="31">
        <v>0.0</v>
      </c>
      <c r="N125" s="31">
        <v>3.0</v>
      </c>
      <c r="O125" s="32" t="s">
        <v>49</v>
      </c>
      <c r="P125" s="32" t="s">
        <v>49</v>
      </c>
      <c r="Q125" s="32" t="s">
        <v>49</v>
      </c>
      <c r="R125" s="33" t="str">
        <f t="shared" si="1"/>
        <v>cap</v>
      </c>
      <c r="S125" s="34" t="str">
        <f>IFERROR(__xludf.DUMMYFUNCTION("IF(query(Data!A:M,CONCATENATE(""select Col13 where Col1 = '"",C125,""' and Col8 = 'Bias and Unfair Discrimination'""),0)&gt;70,1,0)"),"#REF!")</f>
        <v>#REF!</v>
      </c>
      <c r="T125" s="34" t="str">
        <f>IFERROR(__xludf.DUMMYFUNCTION("IF(query(Data!A:M,CONCATENATE(""select Col13 where Col1 = '"",C125,""' and Col8 = 'Childrens Rights'""),0)&gt;70,1,0)"),"#REF!")</f>
        <v>#REF!</v>
      </c>
      <c r="U125" s="34" t="str">
        <f>IFERROR(__xludf.DUMMYFUNCTION("IF(query(Data!A:M,CONCATENATE(""select Col13 where Col1 = '"",C125,""' and Col8 = 'Cultural and Linguistic Diversity'""),0)&gt;70,1,0)"),"#REF!")</f>
        <v>#REF!</v>
      </c>
      <c r="V125" s="34" t="str">
        <f>IFERROR(__xludf.DUMMYFUNCTION("IF(query(Data!A:M,CONCATENATE(""select Col13 where Col1 = '"",C125,""' and Col8 = 'Data Protection and Privacy'""),0)&gt;70,1,0)"),"#REF!")</f>
        <v>#REF!</v>
      </c>
      <c r="W125" s="34" t="str">
        <f>IFERROR(__xludf.DUMMYFUNCTION("IF(query(Data!A:M,CONCATENATE(""select Col13 where Col1 = '"",C125,""' and Col8 = 'Gender Equality'""),0)&gt;70,1,0)"),"#REF!")</f>
        <v>#REF!</v>
      </c>
      <c r="X125" s="34" t="str">
        <f>IFERROR(__xludf.DUMMYFUNCTION("IF(query(Data!A:M,CONCATENATE(""select Col13 where Col1 = '"",C125,""' and Col8 = 'Human Oversight and Determination'""),0)&gt;70,1,0)"),"#REF!")</f>
        <v>#REF!</v>
      </c>
      <c r="Y125" s="34" t="str">
        <f>IFERROR(__xludf.DUMMYFUNCTION("IF(query(Data!A:M,CONCATENATE(""select Col13 where Col1 = '"",C125,""' and Col8 = 'Labour Protection and Right to Work'""),0)&gt;70,1,0)"),"#REF!")</f>
        <v>#REF!</v>
      </c>
      <c r="Z125" s="34" t="str">
        <f>IFERROR(__xludf.DUMMYFUNCTION("IF(query(Data!A:M,CONCATENATE(""select Col13 where Col1 = '"",C125,""' and Col8 = 'Safety, Accuracy and Reliability'""),0)&gt;70,1,0)"),"#REF!")</f>
        <v>#REF!</v>
      </c>
      <c r="AA125" s="34" t="str">
        <f>IFERROR(__xludf.DUMMYFUNCTION("IF(query(Data!A:M,CONCATENATE(""select Col13 where Col1 = '"",C125,""' and Col8 = 'Transparency and Explainability'""),0)&gt;70,1,0)"),"#REF!")</f>
        <v>#REF!</v>
      </c>
      <c r="AB125" s="35">
        <f t="shared" si="2"/>
        <v>0</v>
      </c>
      <c r="AC125" s="35">
        <f t="shared" si="3"/>
        <v>0</v>
      </c>
      <c r="AD125" s="35">
        <f t="shared" si="4"/>
        <v>0</v>
      </c>
      <c r="AE125" s="35">
        <f t="shared" si="5"/>
        <v>0</v>
      </c>
      <c r="AF125" s="35">
        <f t="shared" si="6"/>
        <v>0</v>
      </c>
      <c r="AG125" s="35" t="str">
        <f t="shared" si="7"/>
        <v>No</v>
      </c>
      <c r="AH125" s="35" t="str">
        <f>IFERROR(__xludf.DUMMYFUNCTION("IFERROR(query(query(Data!A:BS,CONCATENATE(""select Col50, count(Col49) where Col1 = '"",C125,""' group by Col50"")), CONCATENATE(""select Col1 where Col2 = "",query(query(query(Data!A:BS,CONCATENATE(""select Col50, count(Col49) where Col1 = '"",C125,""' a"&amp;"nd Col50 &lt;&gt; 'Other' and Col50 is not null group by Col50"")),""select max(Col2)"",0),""Select *"",0),"" limit 1""),0))"),"")</f>
        <v/>
      </c>
      <c r="AI125" s="35" t="str">
        <f t="shared" si="8"/>
        <v/>
      </c>
      <c r="AJ125" s="35" t="str">
        <f t="shared" si="9"/>
        <v>No</v>
      </c>
      <c r="AK125" s="35" t="str">
        <f>IFERROR(__xludf.DUMMYFUNCTION("IFERROR(query(query(Data!A:BS,CONCATENATE(""select Col70, count(Col69) where Col1 = '"",C125,""' group by Col70"")), CONCATENATE(""select Col1 where Col2 = "",query(query(query(Data!A:BS,CONCATENATE(""select Col70, count(Col69) where Col1 = '"",C125,""' a"&amp;"nd Col70 &lt;&gt; 'Other' and Col70 is not null group by Col70"")),""select max(Col2)"",0),""Select *"",0),"" limit 1""),0))"),"")</f>
        <v/>
      </c>
      <c r="AL125" s="35" t="str">
        <f t="shared" si="10"/>
        <v/>
      </c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</row>
    <row r="126">
      <c r="A126" s="25">
        <v>15.0</v>
      </c>
      <c r="B126" s="26" t="s">
        <v>396</v>
      </c>
      <c r="C126" s="27" t="s">
        <v>397</v>
      </c>
      <c r="D126" s="28" t="s">
        <v>398</v>
      </c>
      <c r="E126" s="28" t="s">
        <v>52</v>
      </c>
      <c r="F126" s="28" t="s">
        <v>52</v>
      </c>
      <c r="G126" s="28" t="s">
        <v>58</v>
      </c>
      <c r="H126" s="29">
        <v>48.11217368811892</v>
      </c>
      <c r="I126" s="30">
        <v>56.1537985048796</v>
      </c>
      <c r="J126" s="30">
        <v>50.4204953645405</v>
      </c>
      <c r="K126" s="30">
        <v>27.412280701754383</v>
      </c>
      <c r="L126" s="31">
        <v>32.91771428571429</v>
      </c>
      <c r="M126" s="31">
        <v>57.919444444444444</v>
      </c>
      <c r="N126" s="31">
        <v>54.14366666666666</v>
      </c>
      <c r="O126" s="32" t="s">
        <v>59</v>
      </c>
      <c r="P126" s="32" t="s">
        <v>59</v>
      </c>
      <c r="Q126" s="32" t="s">
        <v>59</v>
      </c>
      <c r="R126" s="33" t="str">
        <f t="shared" si="1"/>
        <v>gob</v>
      </c>
      <c r="S126" s="34" t="str">
        <f>IFERROR(__xludf.DUMMYFUNCTION("IF(query(Data!A:M,CONCATENATE(""select Col13 where Col1 = '"",C126,""' and Col8 = 'Bias and Unfair Discrimination'""),0)&gt;70,1,0)"),"#REF!")</f>
        <v>#REF!</v>
      </c>
      <c r="T126" s="34" t="str">
        <f>IFERROR(__xludf.DUMMYFUNCTION("IF(query(Data!A:M,CONCATENATE(""select Col13 where Col1 = '"",C126,""' and Col8 = 'Childrens Rights'""),0)&gt;70,1,0)"),"#REF!")</f>
        <v>#REF!</v>
      </c>
      <c r="U126" s="34" t="str">
        <f>IFERROR(__xludf.DUMMYFUNCTION("IF(query(Data!A:M,CONCATENATE(""select Col13 where Col1 = '"",C126,""' and Col8 = 'Cultural and Linguistic Diversity'""),0)&gt;70,1,0)"),"#REF!")</f>
        <v>#REF!</v>
      </c>
      <c r="V126" s="34" t="str">
        <f>IFERROR(__xludf.DUMMYFUNCTION("IF(query(Data!A:M,CONCATENATE(""select Col13 where Col1 = '"",C126,""' and Col8 = 'Data Protection and Privacy'""),0)&gt;70,1,0)"),"#REF!")</f>
        <v>#REF!</v>
      </c>
      <c r="W126" s="34" t="str">
        <f>IFERROR(__xludf.DUMMYFUNCTION("IF(query(Data!A:M,CONCATENATE(""select Col13 where Col1 = '"",C126,""' and Col8 = 'Gender Equality'""),0)&gt;70,1,0)"),"#REF!")</f>
        <v>#REF!</v>
      </c>
      <c r="X126" s="34" t="str">
        <f>IFERROR(__xludf.DUMMYFUNCTION("IF(query(Data!A:M,CONCATENATE(""select Col13 where Col1 = '"",C126,""' and Col8 = 'Human Oversight and Determination'""),0)&gt;70,1,0)"),"#REF!")</f>
        <v>#REF!</v>
      </c>
      <c r="Y126" s="34" t="str">
        <f>IFERROR(__xludf.DUMMYFUNCTION("IF(query(Data!A:M,CONCATENATE(""select Col13 where Col1 = '"",C126,""' and Col8 = 'Labour Protection and Right to Work'""),0)&gt;70,1,0)"),"#REF!")</f>
        <v>#REF!</v>
      </c>
      <c r="Z126" s="34" t="str">
        <f>IFERROR(__xludf.DUMMYFUNCTION("IF(query(Data!A:M,CONCATENATE(""select Col13 where Col1 = '"",C126,""' and Col8 = 'Safety, Accuracy and Reliability'""),0)&gt;70,1,0)"),"#REF!")</f>
        <v>#REF!</v>
      </c>
      <c r="AA126" s="34" t="str">
        <f>IFERROR(__xludf.DUMMYFUNCTION("IF(query(Data!A:M,CONCATENATE(""select Col13 where Col1 = '"",C126,""' and Col8 = 'Transparency and Explainability'""),0)&gt;70,1,0)"),"#REF!")</f>
        <v>#REF!</v>
      </c>
      <c r="AB126" s="35">
        <f t="shared" si="2"/>
        <v>0</v>
      </c>
      <c r="AC126" s="35">
        <f t="shared" si="3"/>
        <v>0</v>
      </c>
      <c r="AD126" s="35">
        <f t="shared" si="4"/>
        <v>0</v>
      </c>
      <c r="AE126" s="35">
        <f t="shared" si="5"/>
        <v>0</v>
      </c>
      <c r="AF126" s="35">
        <f t="shared" si="6"/>
        <v>0</v>
      </c>
      <c r="AG126" s="35" t="str">
        <f t="shared" si="7"/>
        <v>No</v>
      </c>
      <c r="AH126" s="35" t="str">
        <f>IFERROR(__xludf.DUMMYFUNCTION("IFERROR(query(query(Data!A:BS,CONCATENATE(""select Col50, count(Col49) where Col1 = '"",C126,""' group by Col50"")), CONCATENATE(""select Col1 where Col2 = "",query(query(query(Data!A:BS,CONCATENATE(""select Col50, count(Col49) where Col1 = '"",C126,""' a"&amp;"nd Col50 &lt;&gt; 'Other' and Col50 is not null group by Col50"")),""select max(Col2)"",0),""Select *"",0),"" limit 1""),0))"),"")</f>
        <v/>
      </c>
      <c r="AI126" s="35" t="str">
        <f t="shared" si="8"/>
        <v/>
      </c>
      <c r="AJ126" s="35" t="str">
        <f t="shared" si="9"/>
        <v>No</v>
      </c>
      <c r="AK126" s="35" t="str">
        <f>IFERROR(__xludf.DUMMYFUNCTION("IFERROR(query(query(Data!A:BS,CONCATENATE(""select Col70, count(Col69) where Col1 = '"",C126,""' group by Col70"")), CONCATENATE(""select Col1 where Col2 = "",query(query(query(Data!A:BS,CONCATENATE(""select Col70, count(Col69) where Col1 = '"",C126,""' a"&amp;"nd Col70 &lt;&gt; 'Other' and Col70 is not null group by Col70"")),""select max(Col2)"",0),""Select *"",0),"" limit 1""),0))"),"")</f>
        <v/>
      </c>
      <c r="AL126" s="35" t="str">
        <f t="shared" si="10"/>
        <v/>
      </c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</row>
    <row r="127">
      <c r="A127" s="25">
        <v>47.0</v>
      </c>
      <c r="B127" s="26" t="s">
        <v>399</v>
      </c>
      <c r="C127" s="27" t="s">
        <v>400</v>
      </c>
      <c r="D127" s="28" t="s">
        <v>401</v>
      </c>
      <c r="E127" s="28" t="s">
        <v>46</v>
      </c>
      <c r="F127" s="28" t="s">
        <v>47</v>
      </c>
      <c r="G127" s="28" t="s">
        <v>132</v>
      </c>
      <c r="H127" s="29">
        <v>23.866827925966497</v>
      </c>
      <c r="I127" s="30">
        <v>24.259351082015456</v>
      </c>
      <c r="J127" s="30">
        <v>30.733924873251663</v>
      </c>
      <c r="K127" s="30">
        <v>9.347587719298245</v>
      </c>
      <c r="L127" s="31">
        <v>17.784142857142857</v>
      </c>
      <c r="M127" s="31">
        <v>21.004666666666665</v>
      </c>
      <c r="N127" s="31">
        <v>46.647</v>
      </c>
      <c r="O127" s="32" t="s">
        <v>54</v>
      </c>
      <c r="P127" s="32" t="s">
        <v>54</v>
      </c>
      <c r="Q127" s="32" t="s">
        <v>76</v>
      </c>
      <c r="R127" s="33" t="str">
        <f t="shared" si="1"/>
        <v>cap</v>
      </c>
      <c r="S127" s="34" t="str">
        <f>IFERROR(__xludf.DUMMYFUNCTION("IF(query(Data!A:M,CONCATENATE(""select Col13 where Col1 = '"",C127,""' and Col8 = 'Bias and Unfair Discrimination'""),0)&gt;70,1,0)"),"#REF!")</f>
        <v>#REF!</v>
      </c>
      <c r="T127" s="34" t="str">
        <f>IFERROR(__xludf.DUMMYFUNCTION("IF(query(Data!A:M,CONCATENATE(""select Col13 where Col1 = '"",C127,""' and Col8 = 'Childrens Rights'""),0)&gt;70,1,0)"),"#REF!")</f>
        <v>#REF!</v>
      </c>
      <c r="U127" s="34" t="str">
        <f>IFERROR(__xludf.DUMMYFUNCTION("IF(query(Data!A:M,CONCATENATE(""select Col13 where Col1 = '"",C127,""' and Col8 = 'Cultural and Linguistic Diversity'""),0)&gt;70,1,0)"),"#REF!")</f>
        <v>#REF!</v>
      </c>
      <c r="V127" s="34" t="str">
        <f>IFERROR(__xludf.DUMMYFUNCTION("IF(query(Data!A:M,CONCATENATE(""select Col13 where Col1 = '"",C127,""' and Col8 = 'Data Protection and Privacy'""),0)&gt;70,1,0)"),"#REF!")</f>
        <v>#REF!</v>
      </c>
      <c r="W127" s="34" t="str">
        <f>IFERROR(__xludf.DUMMYFUNCTION("IF(query(Data!A:M,CONCATENATE(""select Col13 where Col1 = '"",C127,""' and Col8 = 'Gender Equality'""),0)&gt;70,1,0)"),"#REF!")</f>
        <v>#REF!</v>
      </c>
      <c r="X127" s="34" t="str">
        <f>IFERROR(__xludf.DUMMYFUNCTION("IF(query(Data!A:M,CONCATENATE(""select Col13 where Col1 = '"",C127,""' and Col8 = 'Human Oversight and Determination'""),0)&gt;70,1,0)"),"#REF!")</f>
        <v>#REF!</v>
      </c>
      <c r="Y127" s="34" t="str">
        <f>IFERROR(__xludf.DUMMYFUNCTION("IF(query(Data!A:M,CONCATENATE(""select Col13 where Col1 = '"",C127,""' and Col8 = 'Labour Protection and Right to Work'""),0)&gt;70,1,0)"),"#REF!")</f>
        <v>#REF!</v>
      </c>
      <c r="Z127" s="34" t="str">
        <f>IFERROR(__xludf.DUMMYFUNCTION("IF(query(Data!A:M,CONCATENATE(""select Col13 where Col1 = '"",C127,""' and Col8 = 'Safety, Accuracy and Reliability'""),0)&gt;70,1,0)"),"#REF!")</f>
        <v>#REF!</v>
      </c>
      <c r="AA127" s="34" t="str">
        <f>IFERROR(__xludf.DUMMYFUNCTION("IF(query(Data!A:M,CONCATENATE(""select Col13 where Col1 = '"",C127,""' and Col8 = 'Transparency and Explainability'""),0)&gt;70,1,0)"),"#REF!")</f>
        <v>#REF!</v>
      </c>
      <c r="AB127" s="35">
        <f t="shared" si="2"/>
        <v>0</v>
      </c>
      <c r="AC127" s="35">
        <f t="shared" si="3"/>
        <v>0</v>
      </c>
      <c r="AD127" s="35">
        <f t="shared" si="4"/>
        <v>0</v>
      </c>
      <c r="AE127" s="35">
        <f t="shared" si="5"/>
        <v>0</v>
      </c>
      <c r="AF127" s="35">
        <f t="shared" si="6"/>
        <v>0</v>
      </c>
      <c r="AG127" s="35" t="str">
        <f t="shared" si="7"/>
        <v>No</v>
      </c>
      <c r="AH127" s="35" t="str">
        <f>IFERROR(__xludf.DUMMYFUNCTION("IFERROR(query(query(Data!A:BS,CONCATENATE(""select Col50, count(Col49) where Col1 = '"",C127,""' group by Col50"")), CONCATENATE(""select Col1 where Col2 = "",query(query(query(Data!A:BS,CONCATENATE(""select Col50, count(Col49) where Col1 = '"",C127,""' a"&amp;"nd Col50 &lt;&gt; 'Other' and Col50 is not null group by Col50"")),""select max(Col2)"",0),""Select *"",0),"" limit 1""),0))"),"")</f>
        <v/>
      </c>
      <c r="AI127" s="35" t="str">
        <f t="shared" si="8"/>
        <v/>
      </c>
      <c r="AJ127" s="35" t="str">
        <f t="shared" si="9"/>
        <v>No</v>
      </c>
      <c r="AK127" s="35" t="str">
        <f>IFERROR(__xludf.DUMMYFUNCTION("IFERROR(query(query(Data!A:BS,CONCATENATE(""select Col70, count(Col69) where Col1 = '"",C127,""' group by Col70"")), CONCATENATE(""select Col1 where Col2 = "",query(query(query(Data!A:BS,CONCATENATE(""select Col70, count(Col69) where Col1 = '"",C127,""' a"&amp;"nd Col70 &lt;&gt; 'Other' and Col70 is not null group by Col70"")),""select max(Col2)"",0),""Select *"",0),"" limit 1""),0))"),"")</f>
        <v/>
      </c>
      <c r="AL127" s="35" t="str">
        <f t="shared" si="10"/>
        <v/>
      </c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</row>
    <row r="128">
      <c r="A128" s="25">
        <v>34.0</v>
      </c>
      <c r="B128" s="26" t="s">
        <v>402</v>
      </c>
      <c r="C128" s="27" t="s">
        <v>403</v>
      </c>
      <c r="D128" s="28" t="s">
        <v>404</v>
      </c>
      <c r="E128" s="28" t="s">
        <v>46</v>
      </c>
      <c r="F128" s="28" t="s">
        <v>47</v>
      </c>
      <c r="G128" s="28" t="s">
        <v>149</v>
      </c>
      <c r="H128" s="29">
        <v>33.86362143131725</v>
      </c>
      <c r="I128" s="30">
        <v>26.489572926571494</v>
      </c>
      <c r="J128" s="30">
        <v>44.57298942365145</v>
      </c>
      <c r="K128" s="30">
        <v>27.19298245614035</v>
      </c>
      <c r="L128" s="31">
        <v>44.22828571428572</v>
      </c>
      <c r="M128" s="31">
        <v>23.979777777777777</v>
      </c>
      <c r="N128" s="31">
        <v>39.330666666666666</v>
      </c>
      <c r="O128" s="32" t="s">
        <v>59</v>
      </c>
      <c r="P128" s="32" t="s">
        <v>59</v>
      </c>
      <c r="Q128" s="32" t="s">
        <v>59</v>
      </c>
      <c r="R128" s="33" t="str">
        <f t="shared" si="1"/>
        <v>ddhh</v>
      </c>
      <c r="S128" s="34" t="str">
        <f>IFERROR(__xludf.DUMMYFUNCTION("IF(query(Data!A:M,CONCATENATE(""select Col13 where Col1 = '"",C128,""' and Col8 = 'Bias and Unfair Discrimination'""),0)&gt;70,1,0)"),"#REF!")</f>
        <v>#REF!</v>
      </c>
      <c r="T128" s="34" t="str">
        <f>IFERROR(__xludf.DUMMYFUNCTION("IF(query(Data!A:M,CONCATENATE(""select Col13 where Col1 = '"",C128,""' and Col8 = 'Childrens Rights'""),0)&gt;70,1,0)"),"#REF!")</f>
        <v>#REF!</v>
      </c>
      <c r="U128" s="34" t="str">
        <f>IFERROR(__xludf.DUMMYFUNCTION("IF(query(Data!A:M,CONCATENATE(""select Col13 where Col1 = '"",C128,""' and Col8 = 'Cultural and Linguistic Diversity'""),0)&gt;70,1,0)"),"#REF!")</f>
        <v>#REF!</v>
      </c>
      <c r="V128" s="34" t="str">
        <f>IFERROR(__xludf.DUMMYFUNCTION("IF(query(Data!A:M,CONCATENATE(""select Col13 where Col1 = '"",C128,""' and Col8 = 'Data Protection and Privacy'""),0)&gt;70,1,0)"),"#REF!")</f>
        <v>#REF!</v>
      </c>
      <c r="W128" s="34" t="str">
        <f>IFERROR(__xludf.DUMMYFUNCTION("IF(query(Data!A:M,CONCATENATE(""select Col13 where Col1 = '"",C128,""' and Col8 = 'Gender Equality'""),0)&gt;70,1,0)"),"#REF!")</f>
        <v>#REF!</v>
      </c>
      <c r="X128" s="34" t="str">
        <f>IFERROR(__xludf.DUMMYFUNCTION("IF(query(Data!A:M,CONCATENATE(""select Col13 where Col1 = '"",C128,""' and Col8 = 'Human Oversight and Determination'""),0)&gt;70,1,0)"),"#REF!")</f>
        <v>#REF!</v>
      </c>
      <c r="Y128" s="34" t="str">
        <f>IFERROR(__xludf.DUMMYFUNCTION("IF(query(Data!A:M,CONCATENATE(""select Col13 where Col1 = '"",C128,""' and Col8 = 'Labour Protection and Right to Work'""),0)&gt;70,1,0)"),"#REF!")</f>
        <v>#REF!</v>
      </c>
      <c r="Z128" s="34" t="str">
        <f>IFERROR(__xludf.DUMMYFUNCTION("IF(query(Data!A:M,CONCATENATE(""select Col13 where Col1 = '"",C128,""' and Col8 = 'Safety, Accuracy and Reliability'""),0)&gt;70,1,0)"),"#REF!")</f>
        <v>#REF!</v>
      </c>
      <c r="AA128" s="34" t="str">
        <f>IFERROR(__xludf.DUMMYFUNCTION("IF(query(Data!A:M,CONCATENATE(""select Col13 where Col1 = '"",C128,""' and Col8 = 'Transparency and Explainability'""),0)&gt;70,1,0)"),"#REF!")</f>
        <v>#REF!</v>
      </c>
      <c r="AB128" s="35">
        <f t="shared" si="2"/>
        <v>0</v>
      </c>
      <c r="AC128" s="35">
        <f t="shared" si="3"/>
        <v>0</v>
      </c>
      <c r="AD128" s="35">
        <f t="shared" si="4"/>
        <v>0</v>
      </c>
      <c r="AE128" s="35">
        <f t="shared" si="5"/>
        <v>0</v>
      </c>
      <c r="AF128" s="35">
        <f t="shared" si="6"/>
        <v>0</v>
      </c>
      <c r="AG128" s="35" t="str">
        <f t="shared" si="7"/>
        <v>No</v>
      </c>
      <c r="AH128" s="35" t="str">
        <f>IFERROR(__xludf.DUMMYFUNCTION("IFERROR(query(query(Data!A:BS,CONCATENATE(""select Col50, count(Col49) where Col1 = '"",C128,""' group by Col50"")), CONCATENATE(""select Col1 where Col2 = "",query(query(query(Data!A:BS,CONCATENATE(""select Col50, count(Col49) where Col1 = '"",C128,""' a"&amp;"nd Col50 &lt;&gt; 'Other' and Col50 is not null group by Col50"")),""select max(Col2)"",0),""Select *"",0),"" limit 1""),0))"),"")</f>
        <v/>
      </c>
      <c r="AI128" s="35" t="str">
        <f t="shared" si="8"/>
        <v/>
      </c>
      <c r="AJ128" s="35" t="str">
        <f t="shared" si="9"/>
        <v>No</v>
      </c>
      <c r="AK128" s="35" t="str">
        <f>IFERROR(__xludf.DUMMYFUNCTION("IFERROR(query(query(Data!A:BS,CONCATENATE(""select Col70, count(Col69) where Col1 = '"",C128,""' group by Col70"")), CONCATENATE(""select Col1 where Col2 = "",query(query(query(Data!A:BS,CONCATENATE(""select Col70, count(Col69) where Col1 = '"",C128,""' a"&amp;"nd Col70 &lt;&gt; 'Other' and Col70 is not null group by Col70"")),""select max(Col2)"",0),""Select *"",0),"" limit 1""),0))"),"")</f>
        <v/>
      </c>
      <c r="AL128" s="35" t="str">
        <f t="shared" si="10"/>
        <v/>
      </c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</row>
    <row r="129">
      <c r="A129" s="25">
        <v>81.0</v>
      </c>
      <c r="B129" s="26" t="s">
        <v>405</v>
      </c>
      <c r="C129" s="27" t="s">
        <v>406</v>
      </c>
      <c r="D129" s="28" t="s">
        <v>407</v>
      </c>
      <c r="E129" s="28" t="s">
        <v>46</v>
      </c>
      <c r="F129" s="28" t="s">
        <v>47</v>
      </c>
      <c r="G129" s="28" t="s">
        <v>249</v>
      </c>
      <c r="H129" s="29">
        <v>6.931314125646624</v>
      </c>
      <c r="I129" s="30">
        <v>8.182307176422654</v>
      </c>
      <c r="J129" s="30">
        <v>7.41900445348338</v>
      </c>
      <c r="K129" s="30">
        <v>3.4539473684210518</v>
      </c>
      <c r="L129" s="31">
        <v>5.996857142857143</v>
      </c>
      <c r="M129" s="31">
        <v>5.192555555555556</v>
      </c>
      <c r="N129" s="31">
        <v>14.327666666666667</v>
      </c>
      <c r="O129" s="32" t="s">
        <v>49</v>
      </c>
      <c r="P129" s="32" t="s">
        <v>49</v>
      </c>
      <c r="Q129" s="32" t="s">
        <v>49</v>
      </c>
      <c r="R129" s="33" t="str">
        <f t="shared" si="1"/>
        <v>cap</v>
      </c>
      <c r="S129" s="34" t="str">
        <f>IFERROR(__xludf.DUMMYFUNCTION("IF(query(Data!A:M,CONCATENATE(""select Col13 where Col1 = '"",C129,""' and Col8 = 'Bias and Unfair Discrimination'""),0)&gt;70,1,0)"),"#REF!")</f>
        <v>#REF!</v>
      </c>
      <c r="T129" s="34" t="str">
        <f>IFERROR(__xludf.DUMMYFUNCTION("IF(query(Data!A:M,CONCATENATE(""select Col13 where Col1 = '"",C129,""' and Col8 = 'Childrens Rights'""),0)&gt;70,1,0)"),"#REF!")</f>
        <v>#REF!</v>
      </c>
      <c r="U129" s="34" t="str">
        <f>IFERROR(__xludf.DUMMYFUNCTION("IF(query(Data!A:M,CONCATENATE(""select Col13 where Col1 = '"",C129,""' and Col8 = 'Cultural and Linguistic Diversity'""),0)&gt;70,1,0)"),"#REF!")</f>
        <v>#REF!</v>
      </c>
      <c r="V129" s="34" t="str">
        <f>IFERROR(__xludf.DUMMYFUNCTION("IF(query(Data!A:M,CONCATENATE(""select Col13 where Col1 = '"",C129,""' and Col8 = 'Data Protection and Privacy'""),0)&gt;70,1,0)"),"#REF!")</f>
        <v>#REF!</v>
      </c>
      <c r="W129" s="34" t="str">
        <f>IFERROR(__xludf.DUMMYFUNCTION("IF(query(Data!A:M,CONCATENATE(""select Col13 where Col1 = '"",C129,""' and Col8 = 'Gender Equality'""),0)&gt;70,1,0)"),"#REF!")</f>
        <v>#REF!</v>
      </c>
      <c r="X129" s="34" t="str">
        <f>IFERROR(__xludf.DUMMYFUNCTION("IF(query(Data!A:M,CONCATENATE(""select Col13 where Col1 = '"",C129,""' and Col8 = 'Human Oversight and Determination'""),0)&gt;70,1,0)"),"#REF!")</f>
        <v>#REF!</v>
      </c>
      <c r="Y129" s="34" t="str">
        <f>IFERROR(__xludf.DUMMYFUNCTION("IF(query(Data!A:M,CONCATENATE(""select Col13 where Col1 = '"",C129,""' and Col8 = 'Labour Protection and Right to Work'""),0)&gt;70,1,0)"),"#REF!")</f>
        <v>#REF!</v>
      </c>
      <c r="Z129" s="34" t="str">
        <f>IFERROR(__xludf.DUMMYFUNCTION("IF(query(Data!A:M,CONCATENATE(""select Col13 where Col1 = '"",C129,""' and Col8 = 'Safety, Accuracy and Reliability'""),0)&gt;70,1,0)"),"#REF!")</f>
        <v>#REF!</v>
      </c>
      <c r="AA129" s="34" t="str">
        <f>IFERROR(__xludf.DUMMYFUNCTION("IF(query(Data!A:M,CONCATENATE(""select Col13 where Col1 = '"",C129,""' and Col8 = 'Transparency and Explainability'""),0)&gt;70,1,0)"),"#REF!")</f>
        <v>#REF!</v>
      </c>
      <c r="AB129" s="35">
        <f t="shared" si="2"/>
        <v>0</v>
      </c>
      <c r="AC129" s="35">
        <f t="shared" si="3"/>
        <v>0</v>
      </c>
      <c r="AD129" s="35">
        <f t="shared" si="4"/>
        <v>0</v>
      </c>
      <c r="AE129" s="35">
        <f t="shared" si="5"/>
        <v>0</v>
      </c>
      <c r="AF129" s="35">
        <f t="shared" si="6"/>
        <v>0</v>
      </c>
      <c r="AG129" s="35" t="str">
        <f t="shared" si="7"/>
        <v>No</v>
      </c>
      <c r="AH129" s="35" t="str">
        <f>IFERROR(__xludf.DUMMYFUNCTION("IFERROR(query(query(Data!A:BS,CONCATENATE(""select Col50, count(Col49) where Col1 = '"",C129,""' group by Col50"")), CONCATENATE(""select Col1 where Col2 = "",query(query(query(Data!A:BS,CONCATENATE(""select Col50, count(Col49) where Col1 = '"",C129,""' a"&amp;"nd Col50 &lt;&gt; 'Other' and Col50 is not null group by Col50"")),""select max(Col2)"",0),""Select *"",0),"" limit 1""),0))"),"")</f>
        <v/>
      </c>
      <c r="AI129" s="35" t="str">
        <f t="shared" si="8"/>
        <v/>
      </c>
      <c r="AJ129" s="35" t="str">
        <f t="shared" si="9"/>
        <v>No</v>
      </c>
      <c r="AK129" s="35" t="str">
        <f>IFERROR(__xludf.DUMMYFUNCTION("IFERROR(query(query(Data!A:BS,CONCATENATE(""select Col70, count(Col69) where Col1 = '"",C129,""' group by Col70"")), CONCATENATE(""select Col1 where Col2 = "",query(query(query(Data!A:BS,CONCATENATE(""select Col70, count(Col69) where Col1 = '"",C129,""' a"&amp;"nd Col70 &lt;&gt; 'Other' and Col70 is not null group by Col70"")),""select max(Col2)"",0),""Select *"",0),"" limit 1""),0))"),"")</f>
        <v/>
      </c>
      <c r="AL129" s="35" t="str">
        <f t="shared" si="10"/>
        <v/>
      </c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</row>
    <row r="130">
      <c r="A130" s="25">
        <v>122.0</v>
      </c>
      <c r="B130" s="26" t="s">
        <v>408</v>
      </c>
      <c r="C130" s="27" t="s">
        <v>409</v>
      </c>
      <c r="D130" s="28" t="s">
        <v>409</v>
      </c>
      <c r="E130" s="28" t="s">
        <v>74</v>
      </c>
      <c r="F130" s="28" t="s">
        <v>74</v>
      </c>
      <c r="G130" s="28" t="s">
        <v>106</v>
      </c>
      <c r="H130" s="29">
        <v>1.0857228576927855</v>
      </c>
      <c r="I130" s="30">
        <v>0.0</v>
      </c>
      <c r="J130" s="30">
        <v>2.1729146003723145</v>
      </c>
      <c r="K130" s="30">
        <v>1.0827850877192982</v>
      </c>
      <c r="L130" s="31">
        <v>0.0</v>
      </c>
      <c r="M130" s="31">
        <v>0.0</v>
      </c>
      <c r="N130" s="31">
        <v>6.876333333333332</v>
      </c>
      <c r="O130" s="32" t="s">
        <v>76</v>
      </c>
      <c r="P130" s="32" t="s">
        <v>76</v>
      </c>
      <c r="Q130" s="32" t="s">
        <v>54</v>
      </c>
      <c r="R130" s="33" t="str">
        <f t="shared" si="1"/>
        <v>cap</v>
      </c>
      <c r="S130" s="34" t="str">
        <f>IFERROR(__xludf.DUMMYFUNCTION("IF(query(Data!A:M,CONCATENATE(""select Col13 where Col1 = '"",C130,""' and Col8 = 'Bias and Unfair Discrimination'""),0)&gt;70,1,0)"),"#REF!")</f>
        <v>#REF!</v>
      </c>
      <c r="T130" s="34" t="str">
        <f>IFERROR(__xludf.DUMMYFUNCTION("IF(query(Data!A:M,CONCATENATE(""select Col13 where Col1 = '"",C130,""' and Col8 = 'Childrens Rights'""),0)&gt;70,1,0)"),"#REF!")</f>
        <v>#REF!</v>
      </c>
      <c r="U130" s="34" t="str">
        <f>IFERROR(__xludf.DUMMYFUNCTION("IF(query(Data!A:M,CONCATENATE(""select Col13 where Col1 = '"",C130,""' and Col8 = 'Cultural and Linguistic Diversity'""),0)&gt;70,1,0)"),"#REF!")</f>
        <v>#REF!</v>
      </c>
      <c r="V130" s="34" t="str">
        <f>IFERROR(__xludf.DUMMYFUNCTION("IF(query(Data!A:M,CONCATENATE(""select Col13 where Col1 = '"",C130,""' and Col8 = 'Data Protection and Privacy'""),0)&gt;70,1,0)"),"#REF!")</f>
        <v>#REF!</v>
      </c>
      <c r="W130" s="34" t="str">
        <f>IFERROR(__xludf.DUMMYFUNCTION("IF(query(Data!A:M,CONCATENATE(""select Col13 where Col1 = '"",C130,""' and Col8 = 'Gender Equality'""),0)&gt;70,1,0)"),"#REF!")</f>
        <v>#REF!</v>
      </c>
      <c r="X130" s="34" t="str">
        <f>IFERROR(__xludf.DUMMYFUNCTION("IF(query(Data!A:M,CONCATENATE(""select Col13 where Col1 = '"",C130,""' and Col8 = 'Human Oversight and Determination'""),0)&gt;70,1,0)"),"#REF!")</f>
        <v>#REF!</v>
      </c>
      <c r="Y130" s="34" t="str">
        <f>IFERROR(__xludf.DUMMYFUNCTION("IF(query(Data!A:M,CONCATENATE(""select Col13 where Col1 = '"",C130,""' and Col8 = 'Labour Protection and Right to Work'""),0)&gt;70,1,0)"),"#REF!")</f>
        <v>#REF!</v>
      </c>
      <c r="Z130" s="34" t="str">
        <f>IFERROR(__xludf.DUMMYFUNCTION("IF(query(Data!A:M,CONCATENATE(""select Col13 where Col1 = '"",C130,""' and Col8 = 'Safety, Accuracy and Reliability'""),0)&gt;70,1,0)"),"#REF!")</f>
        <v>#REF!</v>
      </c>
      <c r="AA130" s="34" t="str">
        <f>IFERROR(__xludf.DUMMYFUNCTION("IF(query(Data!A:M,CONCATENATE(""select Col13 where Col1 = '"",C130,""' and Col8 = 'Transparency and Explainability'""),0)&gt;70,1,0)"),"#REF!")</f>
        <v>#REF!</v>
      </c>
      <c r="AB130" s="35">
        <f t="shared" si="2"/>
        <v>0</v>
      </c>
      <c r="AC130" s="35">
        <f t="shared" si="3"/>
        <v>0</v>
      </c>
      <c r="AD130" s="35">
        <f t="shared" si="4"/>
        <v>0</v>
      </c>
      <c r="AE130" s="35">
        <f t="shared" si="5"/>
        <v>0</v>
      </c>
      <c r="AF130" s="35">
        <f t="shared" si="6"/>
        <v>0</v>
      </c>
      <c r="AG130" s="35" t="str">
        <f t="shared" si="7"/>
        <v>No</v>
      </c>
      <c r="AH130" s="35" t="str">
        <f>IFERROR(__xludf.DUMMYFUNCTION("IFERROR(query(query(Data!A:BS,CONCATENATE(""select Col50, count(Col49) where Col1 = '"",C130,""' group by Col50"")), CONCATENATE(""select Col1 where Col2 = "",query(query(query(Data!A:BS,CONCATENATE(""select Col50, count(Col49) where Col1 = '"",C130,""' a"&amp;"nd Col50 &lt;&gt; 'Other' and Col50 is not null group by Col50"")),""select max(Col2)"",0),""Select *"",0),"" limit 1""),0))"),"")</f>
        <v/>
      </c>
      <c r="AI130" s="35" t="str">
        <f t="shared" si="8"/>
        <v/>
      </c>
      <c r="AJ130" s="35" t="str">
        <f t="shared" si="9"/>
        <v>No</v>
      </c>
      <c r="AK130" s="35" t="str">
        <f>IFERROR(__xludf.DUMMYFUNCTION("IFERROR(query(query(Data!A:BS,CONCATENATE(""select Col70, count(Col69) where Col1 = '"",C130,""' group by Col70"")), CONCATENATE(""select Col1 where Col2 = "",query(query(query(Data!A:BS,CONCATENATE(""select Col70, count(Col69) where Col1 = '"",C130,""' a"&amp;"nd Col70 &lt;&gt; 'Other' and Col70 is not null group by Col70"")),""select max(Col2)"",0),""Select *"",0),"" limit 1""),0))"),"")</f>
        <v/>
      </c>
      <c r="AL130" s="35" t="str">
        <f t="shared" si="10"/>
        <v/>
      </c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</row>
    <row r="131">
      <c r="A131" s="25">
        <v>93.0</v>
      </c>
      <c r="B131" s="26" t="s">
        <v>410</v>
      </c>
      <c r="C131" s="27" t="s">
        <v>411</v>
      </c>
      <c r="D131" s="28" t="s">
        <v>412</v>
      </c>
      <c r="E131" s="28" t="s">
        <v>63</v>
      </c>
      <c r="F131" s="28" t="s">
        <v>64</v>
      </c>
      <c r="G131" s="28" t="s">
        <v>65</v>
      </c>
      <c r="H131" s="29">
        <v>4.647260811119748</v>
      </c>
      <c r="I131" s="30">
        <v>0.0</v>
      </c>
      <c r="J131" s="30">
        <v>5.66968711551867</v>
      </c>
      <c r="K131" s="30">
        <v>11.896929824561402</v>
      </c>
      <c r="L131" s="31">
        <v>4.6129999999999995</v>
      </c>
      <c r="M131" s="31">
        <v>3.1114444444444445</v>
      </c>
      <c r="N131" s="31">
        <v>9.334333333333333</v>
      </c>
      <c r="O131" s="32" t="s">
        <v>54</v>
      </c>
      <c r="P131" s="32" t="s">
        <v>80</v>
      </c>
      <c r="Q131" s="32" t="s">
        <v>59</v>
      </c>
      <c r="R131" s="33" t="str">
        <f t="shared" si="1"/>
        <v>cap</v>
      </c>
      <c r="S131" s="34" t="str">
        <f>IFERROR(__xludf.DUMMYFUNCTION("IF(query(Data!A:M,CONCATENATE(""select Col13 where Col1 = '"",C131,""' and Col8 = 'Bias and Unfair Discrimination'""),0)&gt;70,1,0)"),"#REF!")</f>
        <v>#REF!</v>
      </c>
      <c r="T131" s="34" t="str">
        <f>IFERROR(__xludf.DUMMYFUNCTION("IF(query(Data!A:M,CONCATENATE(""select Col13 where Col1 = '"",C131,""' and Col8 = 'Childrens Rights'""),0)&gt;70,1,0)"),"#REF!")</f>
        <v>#REF!</v>
      </c>
      <c r="U131" s="34" t="str">
        <f>IFERROR(__xludf.DUMMYFUNCTION("IF(query(Data!A:M,CONCATENATE(""select Col13 where Col1 = '"",C131,""' and Col8 = 'Cultural and Linguistic Diversity'""),0)&gt;70,1,0)"),"#REF!")</f>
        <v>#REF!</v>
      </c>
      <c r="V131" s="34" t="str">
        <f>IFERROR(__xludf.DUMMYFUNCTION("IF(query(Data!A:M,CONCATENATE(""select Col13 where Col1 = '"",C131,""' and Col8 = 'Data Protection and Privacy'""),0)&gt;70,1,0)"),"#REF!")</f>
        <v>#REF!</v>
      </c>
      <c r="W131" s="34" t="str">
        <f>IFERROR(__xludf.DUMMYFUNCTION("IF(query(Data!A:M,CONCATENATE(""select Col13 where Col1 = '"",C131,""' and Col8 = 'Gender Equality'""),0)&gt;70,1,0)"),"#REF!")</f>
        <v>#REF!</v>
      </c>
      <c r="X131" s="34" t="str">
        <f>IFERROR(__xludf.DUMMYFUNCTION("IF(query(Data!A:M,CONCATENATE(""select Col13 where Col1 = '"",C131,""' and Col8 = 'Human Oversight and Determination'""),0)&gt;70,1,0)"),"#REF!")</f>
        <v>#REF!</v>
      </c>
      <c r="Y131" s="34" t="str">
        <f>IFERROR(__xludf.DUMMYFUNCTION("IF(query(Data!A:M,CONCATENATE(""select Col13 where Col1 = '"",C131,""' and Col8 = 'Labour Protection and Right to Work'""),0)&gt;70,1,0)"),"#REF!")</f>
        <v>#REF!</v>
      </c>
      <c r="Z131" s="34" t="str">
        <f>IFERROR(__xludf.DUMMYFUNCTION("IF(query(Data!A:M,CONCATENATE(""select Col13 where Col1 = '"",C131,""' and Col8 = 'Safety, Accuracy and Reliability'""),0)&gt;70,1,0)"),"#REF!")</f>
        <v>#REF!</v>
      </c>
      <c r="AA131" s="34" t="str">
        <f>IFERROR(__xludf.DUMMYFUNCTION("IF(query(Data!A:M,CONCATENATE(""select Col13 where Col1 = '"",C131,""' and Col8 = 'Transparency and Explainability'""),0)&gt;70,1,0)"),"#REF!")</f>
        <v>#REF!</v>
      </c>
      <c r="AB131" s="35">
        <f t="shared" si="2"/>
        <v>0</v>
      </c>
      <c r="AC131" s="35">
        <f t="shared" si="3"/>
        <v>0</v>
      </c>
      <c r="AD131" s="35">
        <f t="shared" si="4"/>
        <v>0</v>
      </c>
      <c r="AE131" s="35">
        <f t="shared" si="5"/>
        <v>0</v>
      </c>
      <c r="AF131" s="35">
        <f t="shared" si="6"/>
        <v>0</v>
      </c>
      <c r="AG131" s="35" t="str">
        <f t="shared" si="7"/>
        <v>No</v>
      </c>
      <c r="AH131" s="35" t="str">
        <f>IFERROR(__xludf.DUMMYFUNCTION("IFERROR(query(query(Data!A:BS,CONCATENATE(""select Col50, count(Col49) where Col1 = '"",C131,""' group by Col50"")), CONCATENATE(""select Col1 where Col2 = "",query(query(query(Data!A:BS,CONCATENATE(""select Col50, count(Col49) where Col1 = '"",C131,""' a"&amp;"nd Col50 &lt;&gt; 'Other' and Col50 is not null group by Col50"")),""select max(Col2)"",0),""Select *"",0),"" limit 1""),0))"),"")</f>
        <v/>
      </c>
      <c r="AI131" s="35" t="str">
        <f t="shared" si="8"/>
        <v/>
      </c>
      <c r="AJ131" s="35" t="str">
        <f t="shared" si="9"/>
        <v>No</v>
      </c>
      <c r="AK131" s="35" t="str">
        <f>IFERROR(__xludf.DUMMYFUNCTION("IFERROR(query(query(Data!A:BS,CONCATENATE(""select Col70, count(Col69) where Col1 = '"",C131,""' group by Col70"")), CONCATENATE(""select Col1 where Col2 = "",query(query(query(Data!A:BS,CONCATENATE(""select Col70, count(Col69) where Col1 = '"",C131,""' a"&amp;"nd Col70 &lt;&gt; 'Other' and Col70 is not null group by Col70"")),""select max(Col2)"",0),""Select *"",0),"" limit 1""),0))"),"")</f>
        <v/>
      </c>
      <c r="AL131" s="35" t="str">
        <f t="shared" si="10"/>
        <v/>
      </c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</row>
    <row r="132">
      <c r="A132" s="25">
        <v>62.0</v>
      </c>
      <c r="B132" s="26" t="s">
        <v>413</v>
      </c>
      <c r="C132" s="27" t="s">
        <v>414</v>
      </c>
      <c r="D132" s="28" t="s">
        <v>415</v>
      </c>
      <c r="E132" s="28" t="s">
        <v>74</v>
      </c>
      <c r="F132" s="28" t="s">
        <v>74</v>
      </c>
      <c r="G132" s="28" t="s">
        <v>75</v>
      </c>
      <c r="H132" s="29">
        <v>15.803810887587698</v>
      </c>
      <c r="I132" s="30">
        <v>6.113455922980057</v>
      </c>
      <c r="J132" s="30">
        <v>19.374689717041818</v>
      </c>
      <c r="K132" s="30">
        <v>28.04276315789473</v>
      </c>
      <c r="L132" s="31">
        <v>19.253714285714288</v>
      </c>
      <c r="M132" s="31">
        <v>14.436888888888891</v>
      </c>
      <c r="N132" s="31">
        <v>11.855666666666666</v>
      </c>
      <c r="O132" s="32" t="s">
        <v>80</v>
      </c>
      <c r="P132" s="32" t="s">
        <v>80</v>
      </c>
      <c r="Q132" s="32" t="s">
        <v>54</v>
      </c>
      <c r="R132" s="33" t="str">
        <f t="shared" si="1"/>
        <v>ddhh</v>
      </c>
      <c r="S132" s="34" t="str">
        <f>IFERROR(__xludf.DUMMYFUNCTION("IF(query(Data!A:M,CONCATENATE(""select Col13 where Col1 = '"",C132,""' and Col8 = 'Bias and Unfair Discrimination'""),0)&gt;70,1,0)"),"#REF!")</f>
        <v>#REF!</v>
      </c>
      <c r="T132" s="34" t="str">
        <f>IFERROR(__xludf.DUMMYFUNCTION("IF(query(Data!A:M,CONCATENATE(""select Col13 where Col1 = '"",C132,""' and Col8 = 'Childrens Rights'""),0)&gt;70,1,0)"),"#REF!")</f>
        <v>#REF!</v>
      </c>
      <c r="U132" s="34" t="str">
        <f>IFERROR(__xludf.DUMMYFUNCTION("IF(query(Data!A:M,CONCATENATE(""select Col13 where Col1 = '"",C132,""' and Col8 = 'Cultural and Linguistic Diversity'""),0)&gt;70,1,0)"),"#REF!")</f>
        <v>#REF!</v>
      </c>
      <c r="V132" s="34" t="str">
        <f>IFERROR(__xludf.DUMMYFUNCTION("IF(query(Data!A:M,CONCATENATE(""select Col13 where Col1 = '"",C132,""' and Col8 = 'Data Protection and Privacy'""),0)&gt;70,1,0)"),"#REF!")</f>
        <v>#REF!</v>
      </c>
      <c r="W132" s="34" t="str">
        <f>IFERROR(__xludf.DUMMYFUNCTION("IF(query(Data!A:M,CONCATENATE(""select Col13 where Col1 = '"",C132,""' and Col8 = 'Gender Equality'""),0)&gt;70,1,0)"),"#REF!")</f>
        <v>#REF!</v>
      </c>
      <c r="X132" s="34" t="str">
        <f>IFERROR(__xludf.DUMMYFUNCTION("IF(query(Data!A:M,CONCATENATE(""select Col13 where Col1 = '"",C132,""' and Col8 = 'Human Oversight and Determination'""),0)&gt;70,1,0)"),"#REF!")</f>
        <v>#REF!</v>
      </c>
      <c r="Y132" s="34" t="str">
        <f>IFERROR(__xludf.DUMMYFUNCTION("IF(query(Data!A:M,CONCATENATE(""select Col13 where Col1 = '"",C132,""' and Col8 = 'Labour Protection and Right to Work'""),0)&gt;70,1,0)"),"#REF!")</f>
        <v>#REF!</v>
      </c>
      <c r="Z132" s="34" t="str">
        <f>IFERROR(__xludf.DUMMYFUNCTION("IF(query(Data!A:M,CONCATENATE(""select Col13 where Col1 = '"",C132,""' and Col8 = 'Safety, Accuracy and Reliability'""),0)&gt;70,1,0)"),"#REF!")</f>
        <v>#REF!</v>
      </c>
      <c r="AA132" s="34" t="str">
        <f>IFERROR(__xludf.DUMMYFUNCTION("IF(query(Data!A:M,CONCATENATE(""select Col13 where Col1 = '"",C132,""' and Col8 = 'Transparency and Explainability'""),0)&gt;70,1,0)"),"#REF!")</f>
        <v>#REF!</v>
      </c>
      <c r="AB132" s="35">
        <f t="shared" si="2"/>
        <v>0</v>
      </c>
      <c r="AC132" s="35">
        <f t="shared" si="3"/>
        <v>0</v>
      </c>
      <c r="AD132" s="35">
        <f t="shared" si="4"/>
        <v>0</v>
      </c>
      <c r="AE132" s="35">
        <f t="shared" si="5"/>
        <v>0</v>
      </c>
      <c r="AF132" s="35">
        <f t="shared" si="6"/>
        <v>0</v>
      </c>
      <c r="AG132" s="35" t="str">
        <f t="shared" si="7"/>
        <v>No</v>
      </c>
      <c r="AH132" s="35" t="str">
        <f>IFERROR(__xludf.DUMMYFUNCTION("IFERROR(query(query(Data!A:BS,CONCATENATE(""select Col50, count(Col49) where Col1 = '"",C132,""' group by Col50"")), CONCATENATE(""select Col1 where Col2 = "",query(query(query(Data!A:BS,CONCATENATE(""select Col50, count(Col49) where Col1 = '"",C132,""' a"&amp;"nd Col50 &lt;&gt; 'Other' and Col50 is not null group by Col50"")),""select max(Col2)"",0),""Select *"",0),"" limit 1""),0))"),"")</f>
        <v/>
      </c>
      <c r="AI132" s="35" t="str">
        <f t="shared" si="8"/>
        <v/>
      </c>
      <c r="AJ132" s="35" t="str">
        <f t="shared" si="9"/>
        <v>No</v>
      </c>
      <c r="AK132" s="35" t="str">
        <f>IFERROR(__xludf.DUMMYFUNCTION("IFERROR(query(query(Data!A:BS,CONCATENATE(""select Col70, count(Col69) where Col1 = '"",C132,""' group by Col70"")), CONCATENATE(""select Col1 where Col2 = "",query(query(query(Data!A:BS,CONCATENATE(""select Col70, count(Col69) where Col1 = '"",C132,""' a"&amp;"nd Col70 &lt;&gt; 'Other' and Col70 is not null group by Col70"")),""select max(Col2)"",0),""Select *"",0),"" limit 1""),0))"),"")</f>
        <v/>
      </c>
      <c r="AL132" s="35" t="str">
        <f t="shared" si="10"/>
        <v/>
      </c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</row>
    <row r="133">
      <c r="A133" s="25">
        <v>111.0</v>
      </c>
      <c r="B133" s="26" t="s">
        <v>416</v>
      </c>
      <c r="C133" s="27" t="s">
        <v>417</v>
      </c>
      <c r="D133" s="28" t="s">
        <v>418</v>
      </c>
      <c r="E133" s="28" t="s">
        <v>46</v>
      </c>
      <c r="F133" s="28" t="s">
        <v>47</v>
      </c>
      <c r="G133" s="28" t="s">
        <v>249</v>
      </c>
      <c r="H133" s="29">
        <v>1.978566695932757</v>
      </c>
      <c r="I133" s="30">
        <v>0.0</v>
      </c>
      <c r="J133" s="30">
        <v>4.507820248603822</v>
      </c>
      <c r="K133" s="30">
        <v>0.8771929824561402</v>
      </c>
      <c r="L133" s="31">
        <v>3.738857142857143</v>
      </c>
      <c r="M133" s="31">
        <v>0.0</v>
      </c>
      <c r="N133" s="31">
        <v>3.8066666666666666</v>
      </c>
      <c r="O133" s="32" t="s">
        <v>49</v>
      </c>
      <c r="P133" s="32" t="s">
        <v>49</v>
      </c>
      <c r="Q133" s="32" t="s">
        <v>49</v>
      </c>
      <c r="R133" s="33" t="str">
        <f t="shared" si="1"/>
        <v>cap</v>
      </c>
      <c r="S133" s="34" t="str">
        <f>IFERROR(__xludf.DUMMYFUNCTION("IF(query(Data!A:M,CONCATENATE(""select Col13 where Col1 = '"",C133,""' and Col8 = 'Bias and Unfair Discrimination'""),0)&gt;70,1,0)"),"#REF!")</f>
        <v>#REF!</v>
      </c>
      <c r="T133" s="34" t="str">
        <f>IFERROR(__xludf.DUMMYFUNCTION("IF(query(Data!A:M,CONCATENATE(""select Col13 where Col1 = '"",C133,""' and Col8 = 'Childrens Rights'""),0)&gt;70,1,0)"),"#REF!")</f>
        <v>#REF!</v>
      </c>
      <c r="U133" s="34" t="str">
        <f>IFERROR(__xludf.DUMMYFUNCTION("IF(query(Data!A:M,CONCATENATE(""select Col13 where Col1 = '"",C133,""' and Col8 = 'Cultural and Linguistic Diversity'""),0)&gt;70,1,0)"),"#REF!")</f>
        <v>#REF!</v>
      </c>
      <c r="V133" s="34" t="str">
        <f>IFERROR(__xludf.DUMMYFUNCTION("IF(query(Data!A:M,CONCATENATE(""select Col13 where Col1 = '"",C133,""' and Col8 = 'Data Protection and Privacy'""),0)&gt;70,1,0)"),"#REF!")</f>
        <v>#REF!</v>
      </c>
      <c r="W133" s="34" t="str">
        <f>IFERROR(__xludf.DUMMYFUNCTION("IF(query(Data!A:M,CONCATENATE(""select Col13 where Col1 = '"",C133,""' and Col8 = 'Gender Equality'""),0)&gt;70,1,0)"),"#REF!")</f>
        <v>#REF!</v>
      </c>
      <c r="X133" s="34" t="str">
        <f>IFERROR(__xludf.DUMMYFUNCTION("IF(query(Data!A:M,CONCATENATE(""select Col13 where Col1 = '"",C133,""' and Col8 = 'Human Oversight and Determination'""),0)&gt;70,1,0)"),"#REF!")</f>
        <v>#REF!</v>
      </c>
      <c r="Y133" s="34" t="str">
        <f>IFERROR(__xludf.DUMMYFUNCTION("IF(query(Data!A:M,CONCATENATE(""select Col13 where Col1 = '"",C133,""' and Col8 = 'Labour Protection and Right to Work'""),0)&gt;70,1,0)"),"#REF!")</f>
        <v>#REF!</v>
      </c>
      <c r="Z133" s="34" t="str">
        <f>IFERROR(__xludf.DUMMYFUNCTION("IF(query(Data!A:M,CONCATENATE(""select Col13 where Col1 = '"",C133,""' and Col8 = 'Safety, Accuracy and Reliability'""),0)&gt;70,1,0)"),"#REF!")</f>
        <v>#REF!</v>
      </c>
      <c r="AA133" s="34" t="str">
        <f>IFERROR(__xludf.DUMMYFUNCTION("IF(query(Data!A:M,CONCATENATE(""select Col13 where Col1 = '"",C133,""' and Col8 = 'Transparency and Explainability'""),0)&gt;70,1,0)"),"#REF!")</f>
        <v>#REF!</v>
      </c>
      <c r="AB133" s="35">
        <f t="shared" si="2"/>
        <v>0</v>
      </c>
      <c r="AC133" s="35">
        <f t="shared" si="3"/>
        <v>0</v>
      </c>
      <c r="AD133" s="35">
        <f t="shared" si="4"/>
        <v>0</v>
      </c>
      <c r="AE133" s="35">
        <f t="shared" si="5"/>
        <v>0</v>
      </c>
      <c r="AF133" s="35">
        <f t="shared" si="6"/>
        <v>0</v>
      </c>
      <c r="AG133" s="35" t="str">
        <f t="shared" si="7"/>
        <v>No</v>
      </c>
      <c r="AH133" s="35" t="str">
        <f>IFERROR(__xludf.DUMMYFUNCTION("IFERROR(query(query(Data!A:BS,CONCATENATE(""select Col50, count(Col49) where Col1 = '"",C133,""' group by Col50"")), CONCATENATE(""select Col1 where Col2 = "",query(query(query(Data!A:BS,CONCATENATE(""select Col50, count(Col49) where Col1 = '"",C133,""' a"&amp;"nd Col50 &lt;&gt; 'Other' and Col50 is not null group by Col50"")),""select max(Col2)"",0),""Select *"",0),"" limit 1""),0))"),"")</f>
        <v/>
      </c>
      <c r="AI133" s="35" t="str">
        <f t="shared" si="8"/>
        <v/>
      </c>
      <c r="AJ133" s="35" t="str">
        <f t="shared" si="9"/>
        <v>No</v>
      </c>
      <c r="AK133" s="35" t="str">
        <f>IFERROR(__xludf.DUMMYFUNCTION("IFERROR(query(query(Data!A:BS,CONCATENATE(""select Col70, count(Col69) where Col1 = '"",C133,""' group by Col70"")), CONCATENATE(""select Col1 where Col2 = "",query(query(query(Data!A:BS,CONCATENATE(""select Col70, count(Col69) where Col1 = '"",C133,""' a"&amp;"nd Col70 &lt;&gt; 'Other' and Col70 is not null group by Col70"")),""select max(Col2)"",0),""Select *"",0),"" limit 1""),0))"),"")</f>
        <v/>
      </c>
      <c r="AL133" s="35" t="str">
        <f t="shared" si="10"/>
        <v/>
      </c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</row>
    <row r="134">
      <c r="A134" s="25">
        <v>26.0</v>
      </c>
      <c r="B134" s="26" t="s">
        <v>419</v>
      </c>
      <c r="C134" s="27" t="s">
        <v>420</v>
      </c>
      <c r="D134" s="28" t="s">
        <v>421</v>
      </c>
      <c r="E134" s="28" t="s">
        <v>52</v>
      </c>
      <c r="F134" s="28" t="s">
        <v>52</v>
      </c>
      <c r="G134" s="28" t="s">
        <v>110</v>
      </c>
      <c r="H134" s="29">
        <v>38.125258379149855</v>
      </c>
      <c r="I134" s="30">
        <v>25.717890956945585</v>
      </c>
      <c r="J134" s="30">
        <v>39.188182622508</v>
      </c>
      <c r="K134" s="30">
        <v>60.8141447368421</v>
      </c>
      <c r="L134" s="31">
        <v>34.35185714285715</v>
      </c>
      <c r="M134" s="31">
        <v>39.30533333333333</v>
      </c>
      <c r="N134" s="31">
        <v>43.388</v>
      </c>
      <c r="O134" s="32" t="s">
        <v>76</v>
      </c>
      <c r="P134" s="32" t="s">
        <v>76</v>
      </c>
      <c r="Q134" s="32" t="s">
        <v>54</v>
      </c>
      <c r="R134" s="33" t="str">
        <f t="shared" si="1"/>
        <v>cap</v>
      </c>
      <c r="S134" s="34" t="str">
        <f>IFERROR(__xludf.DUMMYFUNCTION("IF(query(Data!A:M,CONCATENATE(""select Col13 where Col1 = '"",C134,""' and Col8 = 'Bias and Unfair Discrimination'""),0)&gt;70,1,0)"),"#REF!")</f>
        <v>#REF!</v>
      </c>
      <c r="T134" s="34" t="str">
        <f>IFERROR(__xludf.DUMMYFUNCTION("IF(query(Data!A:M,CONCATENATE(""select Col13 where Col1 = '"",C134,""' and Col8 = 'Childrens Rights'""),0)&gt;70,1,0)"),"#REF!")</f>
        <v>#REF!</v>
      </c>
      <c r="U134" s="34" t="str">
        <f>IFERROR(__xludf.DUMMYFUNCTION("IF(query(Data!A:M,CONCATENATE(""select Col13 where Col1 = '"",C134,""' and Col8 = 'Cultural and Linguistic Diversity'""),0)&gt;70,1,0)"),"#REF!")</f>
        <v>#REF!</v>
      </c>
      <c r="V134" s="34" t="str">
        <f>IFERROR(__xludf.DUMMYFUNCTION("IF(query(Data!A:M,CONCATENATE(""select Col13 where Col1 = '"",C134,""' and Col8 = 'Data Protection and Privacy'""),0)&gt;70,1,0)"),"#REF!")</f>
        <v>#REF!</v>
      </c>
      <c r="W134" s="34" t="str">
        <f>IFERROR(__xludf.DUMMYFUNCTION("IF(query(Data!A:M,CONCATENATE(""select Col13 where Col1 = '"",C134,""' and Col8 = 'Gender Equality'""),0)&gt;70,1,0)"),"#REF!")</f>
        <v>#REF!</v>
      </c>
      <c r="X134" s="34" t="str">
        <f>IFERROR(__xludf.DUMMYFUNCTION("IF(query(Data!A:M,CONCATENATE(""select Col13 where Col1 = '"",C134,""' and Col8 = 'Human Oversight and Determination'""),0)&gt;70,1,0)"),"#REF!")</f>
        <v>#REF!</v>
      </c>
      <c r="Y134" s="34" t="str">
        <f>IFERROR(__xludf.DUMMYFUNCTION("IF(query(Data!A:M,CONCATENATE(""select Col13 where Col1 = '"",C134,""' and Col8 = 'Labour Protection and Right to Work'""),0)&gt;70,1,0)"),"#REF!")</f>
        <v>#REF!</v>
      </c>
      <c r="Z134" s="34" t="str">
        <f>IFERROR(__xludf.DUMMYFUNCTION("IF(query(Data!A:M,CONCATENATE(""select Col13 where Col1 = '"",C134,""' and Col8 = 'Safety, Accuracy and Reliability'""),0)&gt;70,1,0)"),"#REF!")</f>
        <v>#REF!</v>
      </c>
      <c r="AA134" s="34" t="str">
        <f>IFERROR(__xludf.DUMMYFUNCTION("IF(query(Data!A:M,CONCATENATE(""select Col13 where Col1 = '"",C134,""' and Col8 = 'Transparency and Explainability'""),0)&gt;70,1,0)"),"#REF!")</f>
        <v>#REF!</v>
      </c>
      <c r="AB134" s="35">
        <f t="shared" si="2"/>
        <v>0</v>
      </c>
      <c r="AC134" s="35">
        <f t="shared" si="3"/>
        <v>0</v>
      </c>
      <c r="AD134" s="35">
        <f t="shared" si="4"/>
        <v>0</v>
      </c>
      <c r="AE134" s="35">
        <f t="shared" si="5"/>
        <v>0</v>
      </c>
      <c r="AF134" s="35">
        <f t="shared" si="6"/>
        <v>0</v>
      </c>
      <c r="AG134" s="35" t="str">
        <f t="shared" si="7"/>
        <v>No</v>
      </c>
      <c r="AH134" s="35" t="str">
        <f>IFERROR(__xludf.DUMMYFUNCTION("IFERROR(query(query(Data!A:BS,CONCATENATE(""select Col50, count(Col49) where Col1 = '"",C134,""' group by Col50"")), CONCATENATE(""select Col1 where Col2 = "",query(query(query(Data!A:BS,CONCATENATE(""select Col50, count(Col49) where Col1 = '"",C134,""' a"&amp;"nd Col50 &lt;&gt; 'Other' and Col50 is not null group by Col50"")),""select max(Col2)"",0),""Select *"",0),"" limit 1""),0))"),"")</f>
        <v/>
      </c>
      <c r="AI134" s="35" t="str">
        <f t="shared" si="8"/>
        <v/>
      </c>
      <c r="AJ134" s="35" t="str">
        <f t="shared" si="9"/>
        <v>No</v>
      </c>
      <c r="AK134" s="35" t="str">
        <f>IFERROR(__xludf.DUMMYFUNCTION("IFERROR(query(query(Data!A:BS,CONCATENATE(""select Col70, count(Col69) where Col1 = '"",C134,""' group by Col70"")), CONCATENATE(""select Col1 where Col2 = "",query(query(query(Data!A:BS,CONCATENATE(""select Col70, count(Col69) where Col1 = '"",C134,""' a"&amp;"nd Col70 &lt;&gt; 'Other' and Col70 is not null group by Col70"")),""select max(Col2)"",0),""Select *"",0),"" limit 1""),0))"),"")</f>
        <v/>
      </c>
      <c r="AL134" s="35" t="str">
        <f t="shared" si="10"/>
        <v/>
      </c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</row>
    <row r="135">
      <c r="A135" s="25">
        <v>106.0</v>
      </c>
      <c r="B135" s="26" t="s">
        <v>422</v>
      </c>
      <c r="C135" s="27" t="s">
        <v>423</v>
      </c>
      <c r="D135" s="28" t="s">
        <v>423</v>
      </c>
      <c r="E135" s="28" t="s">
        <v>74</v>
      </c>
      <c r="F135" s="28" t="s">
        <v>74</v>
      </c>
      <c r="G135" s="28" t="s">
        <v>106</v>
      </c>
      <c r="H135" s="29">
        <v>2.251334413227282</v>
      </c>
      <c r="I135" s="30">
        <v>0.0</v>
      </c>
      <c r="J135" s="30">
        <v>2.0304741909629422</v>
      </c>
      <c r="K135" s="30">
        <v>7.1957236842105265</v>
      </c>
      <c r="L135" s="31">
        <v>0.558</v>
      </c>
      <c r="M135" s="31">
        <v>2.604111111111111</v>
      </c>
      <c r="N135" s="31">
        <v>5.144</v>
      </c>
      <c r="O135" s="32" t="s">
        <v>80</v>
      </c>
      <c r="P135" s="32" t="s">
        <v>76</v>
      </c>
      <c r="Q135" s="32" t="s">
        <v>80</v>
      </c>
      <c r="R135" s="33" t="str">
        <f t="shared" si="1"/>
        <v>cap</v>
      </c>
      <c r="S135" s="34" t="str">
        <f>IFERROR(__xludf.DUMMYFUNCTION("IF(query(Data!A:M,CONCATENATE(""select Col13 where Col1 = '"",C135,""' and Col8 = 'Bias and Unfair Discrimination'""),0)&gt;70,1,0)"),"#REF!")</f>
        <v>#REF!</v>
      </c>
      <c r="T135" s="34" t="str">
        <f>IFERROR(__xludf.DUMMYFUNCTION("IF(query(Data!A:M,CONCATENATE(""select Col13 where Col1 = '"",C135,""' and Col8 = 'Childrens Rights'""),0)&gt;70,1,0)"),"#REF!")</f>
        <v>#REF!</v>
      </c>
      <c r="U135" s="34" t="str">
        <f>IFERROR(__xludf.DUMMYFUNCTION("IF(query(Data!A:M,CONCATENATE(""select Col13 where Col1 = '"",C135,""' and Col8 = 'Cultural and Linguistic Diversity'""),0)&gt;70,1,0)"),"#REF!")</f>
        <v>#REF!</v>
      </c>
      <c r="V135" s="34" t="str">
        <f>IFERROR(__xludf.DUMMYFUNCTION("IF(query(Data!A:M,CONCATENATE(""select Col13 where Col1 = '"",C135,""' and Col8 = 'Data Protection and Privacy'""),0)&gt;70,1,0)"),"#REF!")</f>
        <v>#REF!</v>
      </c>
      <c r="W135" s="34" t="str">
        <f>IFERROR(__xludf.DUMMYFUNCTION("IF(query(Data!A:M,CONCATENATE(""select Col13 where Col1 = '"",C135,""' and Col8 = 'Gender Equality'""),0)&gt;70,1,0)"),"#REF!")</f>
        <v>#REF!</v>
      </c>
      <c r="X135" s="34" t="str">
        <f>IFERROR(__xludf.DUMMYFUNCTION("IF(query(Data!A:M,CONCATENATE(""select Col13 where Col1 = '"",C135,""' and Col8 = 'Human Oversight and Determination'""),0)&gt;70,1,0)"),"#REF!")</f>
        <v>#REF!</v>
      </c>
      <c r="Y135" s="34" t="str">
        <f>IFERROR(__xludf.DUMMYFUNCTION("IF(query(Data!A:M,CONCATENATE(""select Col13 where Col1 = '"",C135,""' and Col8 = 'Labour Protection and Right to Work'""),0)&gt;70,1,0)"),"#REF!")</f>
        <v>#REF!</v>
      </c>
      <c r="Z135" s="34" t="str">
        <f>IFERROR(__xludf.DUMMYFUNCTION("IF(query(Data!A:M,CONCATENATE(""select Col13 where Col1 = '"",C135,""' and Col8 = 'Safety, Accuracy and Reliability'""),0)&gt;70,1,0)"),"#REF!")</f>
        <v>#REF!</v>
      </c>
      <c r="AA135" s="34" t="str">
        <f>IFERROR(__xludf.DUMMYFUNCTION("IF(query(Data!A:M,CONCATENATE(""select Col13 where Col1 = '"",C135,""' and Col8 = 'Transparency and Explainability'""),0)&gt;70,1,0)"),"#REF!")</f>
        <v>#REF!</v>
      </c>
      <c r="AB135" s="35">
        <f t="shared" si="2"/>
        <v>0</v>
      </c>
      <c r="AC135" s="35">
        <f t="shared" si="3"/>
        <v>0</v>
      </c>
      <c r="AD135" s="35">
        <f t="shared" si="4"/>
        <v>0</v>
      </c>
      <c r="AE135" s="35">
        <f t="shared" si="5"/>
        <v>0</v>
      </c>
      <c r="AF135" s="35">
        <f t="shared" si="6"/>
        <v>0</v>
      </c>
      <c r="AG135" s="35" t="str">
        <f t="shared" si="7"/>
        <v>No</v>
      </c>
      <c r="AH135" s="35" t="str">
        <f>IFERROR(__xludf.DUMMYFUNCTION("IFERROR(query(query(Data!A:BS,CONCATENATE(""select Col50, count(Col49) where Col1 = '"",C135,""' group by Col50"")), CONCATENATE(""select Col1 where Col2 = "",query(query(query(Data!A:BS,CONCATENATE(""select Col50, count(Col49) where Col1 = '"",C135,""' a"&amp;"nd Col50 &lt;&gt; 'Other' and Col50 is not null group by Col50"")),""select max(Col2)"",0),""Select *"",0),"" limit 1""),0))"),"")</f>
        <v/>
      </c>
      <c r="AI135" s="35" t="str">
        <f t="shared" si="8"/>
        <v/>
      </c>
      <c r="AJ135" s="35" t="str">
        <f t="shared" si="9"/>
        <v>No</v>
      </c>
      <c r="AK135" s="35" t="str">
        <f>IFERROR(__xludf.DUMMYFUNCTION("IFERROR(query(query(Data!A:BS,CONCATENATE(""select Col70, count(Col69) where Col1 = '"",C135,""' group by Col70"")), CONCATENATE(""select Col1 where Col2 = "",query(query(query(Data!A:BS,CONCATENATE(""select Col70, count(Col69) where Col1 = '"",C135,""' a"&amp;"nd Col70 &lt;&gt; 'Other' and Col70 is not null group by Col70"")),""select max(Col2)"",0),""Select *"",0),"" limit 1""),0))"),"")</f>
        <v/>
      </c>
      <c r="AL135" s="35" t="str">
        <f t="shared" si="10"/>
        <v/>
      </c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</row>
    <row r="136">
      <c r="A136" s="25">
        <v>19.0</v>
      </c>
      <c r="B136" s="26" t="s">
        <v>424</v>
      </c>
      <c r="C136" s="27" t="s">
        <v>425</v>
      </c>
      <c r="D136" s="28" t="s">
        <v>425</v>
      </c>
      <c r="E136" s="28" t="s">
        <v>79</v>
      </c>
      <c r="F136" s="28" t="s">
        <v>64</v>
      </c>
      <c r="G136" s="28" t="s">
        <v>65</v>
      </c>
      <c r="H136" s="29">
        <v>44.09127770942554</v>
      </c>
      <c r="I136" s="30">
        <v>35.6359649122807</v>
      </c>
      <c r="J136" s="30">
        <v>54.033018834967365</v>
      </c>
      <c r="K136" s="30">
        <v>41.11842105263157</v>
      </c>
      <c r="L136" s="31">
        <v>47.19914285714286</v>
      </c>
      <c r="M136" s="31">
        <v>43.839888888888886</v>
      </c>
      <c r="N136" s="31">
        <v>37.59433333333333</v>
      </c>
      <c r="O136" s="32" t="s">
        <v>54</v>
      </c>
      <c r="P136" s="32" t="s">
        <v>59</v>
      </c>
      <c r="Q136" s="32" t="s">
        <v>59</v>
      </c>
      <c r="R136" s="33" t="str">
        <f t="shared" si="1"/>
        <v>ddhh</v>
      </c>
      <c r="S136" s="34" t="str">
        <f>IFERROR(__xludf.DUMMYFUNCTION("IF(query(Data!A:M,CONCATENATE(""select Col13 where Col1 = '"",C136,""' and Col8 = 'Bias and Unfair Discrimination'""),0)&gt;70,1,0)"),"#REF!")</f>
        <v>#REF!</v>
      </c>
      <c r="T136" s="34" t="str">
        <f>IFERROR(__xludf.DUMMYFUNCTION("IF(query(Data!A:M,CONCATENATE(""select Col13 where Col1 = '"",C136,""' and Col8 = 'Childrens Rights'""),0)&gt;70,1,0)"),"#REF!")</f>
        <v>#REF!</v>
      </c>
      <c r="U136" s="34" t="str">
        <f>IFERROR(__xludf.DUMMYFUNCTION("IF(query(Data!A:M,CONCATENATE(""select Col13 where Col1 = '"",C136,""' and Col8 = 'Cultural and Linguistic Diversity'""),0)&gt;70,1,0)"),"#REF!")</f>
        <v>#REF!</v>
      </c>
      <c r="V136" s="34" t="str">
        <f>IFERROR(__xludf.DUMMYFUNCTION("IF(query(Data!A:M,CONCATENATE(""select Col13 where Col1 = '"",C136,""' and Col8 = 'Data Protection and Privacy'""),0)&gt;70,1,0)"),"#REF!")</f>
        <v>#REF!</v>
      </c>
      <c r="W136" s="34" t="str">
        <f>IFERROR(__xludf.DUMMYFUNCTION("IF(query(Data!A:M,CONCATENATE(""select Col13 where Col1 = '"",C136,""' and Col8 = 'Gender Equality'""),0)&gt;70,1,0)"),"#REF!")</f>
        <v>#REF!</v>
      </c>
      <c r="X136" s="34" t="str">
        <f>IFERROR(__xludf.DUMMYFUNCTION("IF(query(Data!A:M,CONCATENATE(""select Col13 where Col1 = '"",C136,""' and Col8 = 'Human Oversight and Determination'""),0)&gt;70,1,0)"),"#REF!")</f>
        <v>#REF!</v>
      </c>
      <c r="Y136" s="34" t="str">
        <f>IFERROR(__xludf.DUMMYFUNCTION("IF(query(Data!A:M,CONCATENATE(""select Col13 where Col1 = '"",C136,""' and Col8 = 'Labour Protection and Right to Work'""),0)&gt;70,1,0)"),"#REF!")</f>
        <v>#REF!</v>
      </c>
      <c r="Z136" s="34" t="str">
        <f>IFERROR(__xludf.DUMMYFUNCTION("IF(query(Data!A:M,CONCATENATE(""select Col13 where Col1 = '"",C136,""' and Col8 = 'Safety, Accuracy and Reliability'""),0)&gt;70,1,0)"),"#REF!")</f>
        <v>#REF!</v>
      </c>
      <c r="AA136" s="34" t="str">
        <f>IFERROR(__xludf.DUMMYFUNCTION("IF(query(Data!A:M,CONCATENATE(""select Col13 where Col1 = '"",C136,""' and Col8 = 'Transparency and Explainability'""),0)&gt;70,1,0)"),"#REF!")</f>
        <v>#REF!</v>
      </c>
      <c r="AB136" s="35">
        <f t="shared" si="2"/>
        <v>0</v>
      </c>
      <c r="AC136" s="35">
        <f t="shared" si="3"/>
        <v>0</v>
      </c>
      <c r="AD136" s="35">
        <f t="shared" si="4"/>
        <v>0</v>
      </c>
      <c r="AE136" s="35">
        <f t="shared" si="5"/>
        <v>0</v>
      </c>
      <c r="AF136" s="35">
        <f t="shared" si="6"/>
        <v>0</v>
      </c>
      <c r="AG136" s="35" t="str">
        <f t="shared" si="7"/>
        <v>No</v>
      </c>
      <c r="AH136" s="35" t="str">
        <f>IFERROR(__xludf.DUMMYFUNCTION("IFERROR(query(query(Data!A:BS,CONCATENATE(""select Col50, count(Col49) where Col1 = '"",C136,""' group by Col50"")), CONCATENATE(""select Col1 where Col2 = "",query(query(query(Data!A:BS,CONCATENATE(""select Col50, count(Col49) where Col1 = '"",C136,""' a"&amp;"nd Col50 &lt;&gt; 'Other' and Col50 is not null group by Col50"")),""select max(Col2)"",0),""Select *"",0),"" limit 1""),0))"),"")</f>
        <v/>
      </c>
      <c r="AI136" s="35" t="str">
        <f t="shared" si="8"/>
        <v/>
      </c>
      <c r="AJ136" s="35" t="str">
        <f t="shared" si="9"/>
        <v>No</v>
      </c>
      <c r="AK136" s="35" t="str">
        <f>IFERROR(__xludf.DUMMYFUNCTION("IFERROR(query(query(Data!A:BS,CONCATENATE(""select Col70, count(Col69) where Col1 = '"",C136,""' group by Col70"")), CONCATENATE(""select Col1 where Col2 = "",query(query(query(Data!A:BS,CONCATENATE(""select Col70, count(Col69) where Col1 = '"",C136,""' a"&amp;"nd Col70 &lt;&gt; 'Other' and Col70 is not null group by Col70"")),""select max(Col2)"",0),""Select *"",0),"" limit 1""),0))"),"")</f>
        <v/>
      </c>
      <c r="AL136" s="35" t="str">
        <f t="shared" si="10"/>
        <v/>
      </c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</row>
    <row r="137">
      <c r="A137" s="25">
        <v>70.0</v>
      </c>
      <c r="B137" s="26" t="s">
        <v>426</v>
      </c>
      <c r="C137" s="27" t="s">
        <v>427</v>
      </c>
      <c r="D137" s="28" t="s">
        <v>428</v>
      </c>
      <c r="E137" s="28" t="s">
        <v>46</v>
      </c>
      <c r="F137" s="28" t="s">
        <v>47</v>
      </c>
      <c r="G137" s="28" t="s">
        <v>249</v>
      </c>
      <c r="H137" s="29">
        <v>11.273708921733656</v>
      </c>
      <c r="I137" s="30">
        <v>14.2068022426806</v>
      </c>
      <c r="J137" s="30">
        <v>12.003785851127223</v>
      </c>
      <c r="K137" s="30">
        <v>3.947368421052631</v>
      </c>
      <c r="L137" s="31">
        <v>5.780571428571428</v>
      </c>
      <c r="M137" s="31">
        <v>11.148777777777777</v>
      </c>
      <c r="N137" s="31">
        <v>24.465333333333334</v>
      </c>
      <c r="O137" s="32" t="s">
        <v>76</v>
      </c>
      <c r="P137" s="32" t="s">
        <v>76</v>
      </c>
      <c r="Q137" s="32" t="s">
        <v>49</v>
      </c>
      <c r="R137" s="33" t="str">
        <f t="shared" si="1"/>
        <v>cap</v>
      </c>
      <c r="S137" s="34" t="str">
        <f>IFERROR(__xludf.DUMMYFUNCTION("IF(query(Data!A:M,CONCATENATE(""select Col13 where Col1 = '"",C137,""' and Col8 = 'Bias and Unfair Discrimination'""),0)&gt;70,1,0)"),"#REF!")</f>
        <v>#REF!</v>
      </c>
      <c r="T137" s="34" t="str">
        <f>IFERROR(__xludf.DUMMYFUNCTION("IF(query(Data!A:M,CONCATENATE(""select Col13 where Col1 = '"",C137,""' and Col8 = 'Childrens Rights'""),0)&gt;70,1,0)"),"#REF!")</f>
        <v>#REF!</v>
      </c>
      <c r="U137" s="34" t="str">
        <f>IFERROR(__xludf.DUMMYFUNCTION("IF(query(Data!A:M,CONCATENATE(""select Col13 where Col1 = '"",C137,""' and Col8 = 'Cultural and Linguistic Diversity'""),0)&gt;70,1,0)"),"#REF!")</f>
        <v>#REF!</v>
      </c>
      <c r="V137" s="34" t="str">
        <f>IFERROR(__xludf.DUMMYFUNCTION("IF(query(Data!A:M,CONCATENATE(""select Col13 where Col1 = '"",C137,""' and Col8 = 'Data Protection and Privacy'""),0)&gt;70,1,0)"),"#REF!")</f>
        <v>#REF!</v>
      </c>
      <c r="W137" s="34" t="str">
        <f>IFERROR(__xludf.DUMMYFUNCTION("IF(query(Data!A:M,CONCATENATE(""select Col13 where Col1 = '"",C137,""' and Col8 = 'Gender Equality'""),0)&gt;70,1,0)"),"#REF!")</f>
        <v>#REF!</v>
      </c>
      <c r="X137" s="34" t="str">
        <f>IFERROR(__xludf.DUMMYFUNCTION("IF(query(Data!A:M,CONCATENATE(""select Col13 where Col1 = '"",C137,""' and Col8 = 'Human Oversight and Determination'""),0)&gt;70,1,0)"),"#REF!")</f>
        <v>#REF!</v>
      </c>
      <c r="Y137" s="34" t="str">
        <f>IFERROR(__xludf.DUMMYFUNCTION("IF(query(Data!A:M,CONCATENATE(""select Col13 where Col1 = '"",C137,""' and Col8 = 'Labour Protection and Right to Work'""),0)&gt;70,1,0)"),"#REF!")</f>
        <v>#REF!</v>
      </c>
      <c r="Z137" s="34" t="str">
        <f>IFERROR(__xludf.DUMMYFUNCTION("IF(query(Data!A:M,CONCATENATE(""select Col13 where Col1 = '"",C137,""' and Col8 = 'Safety, Accuracy and Reliability'""),0)&gt;70,1,0)"),"#REF!")</f>
        <v>#REF!</v>
      </c>
      <c r="AA137" s="34" t="str">
        <f>IFERROR(__xludf.DUMMYFUNCTION("IF(query(Data!A:M,CONCATENATE(""select Col13 where Col1 = '"",C137,""' and Col8 = 'Transparency and Explainability'""),0)&gt;70,1,0)"),"#REF!")</f>
        <v>#REF!</v>
      </c>
      <c r="AB137" s="35">
        <f t="shared" si="2"/>
        <v>0</v>
      </c>
      <c r="AC137" s="35">
        <f t="shared" si="3"/>
        <v>0</v>
      </c>
      <c r="AD137" s="35">
        <f t="shared" si="4"/>
        <v>0</v>
      </c>
      <c r="AE137" s="35">
        <f t="shared" si="5"/>
        <v>0</v>
      </c>
      <c r="AF137" s="35">
        <f t="shared" si="6"/>
        <v>0</v>
      </c>
      <c r="AG137" s="35" t="str">
        <f t="shared" si="7"/>
        <v>No</v>
      </c>
      <c r="AH137" s="35" t="str">
        <f>IFERROR(__xludf.DUMMYFUNCTION("IFERROR(query(query(Data!A:BS,CONCATENATE(""select Col50, count(Col49) where Col1 = '"",C137,""' group by Col50"")), CONCATENATE(""select Col1 where Col2 = "",query(query(query(Data!A:BS,CONCATENATE(""select Col50, count(Col49) where Col1 = '"",C137,""' a"&amp;"nd Col50 &lt;&gt; 'Other' and Col50 is not null group by Col50"")),""select max(Col2)"",0),""Select *"",0),"" limit 1""),0))"),"")</f>
        <v/>
      </c>
      <c r="AI137" s="35" t="str">
        <f t="shared" si="8"/>
        <v/>
      </c>
      <c r="AJ137" s="35" t="str">
        <f t="shared" si="9"/>
        <v>No</v>
      </c>
      <c r="AK137" s="35" t="str">
        <f>IFERROR(__xludf.DUMMYFUNCTION("IFERROR(query(query(Data!A:BS,CONCATENATE(""select Col70, count(Col69) where Col1 = '"",C137,""' group by Col70"")), CONCATENATE(""select Col1 where Col2 = "",query(query(query(Data!A:BS,CONCATENATE(""select Col70, count(Col69) where Col1 = '"",C137,""' a"&amp;"nd Col70 &lt;&gt; 'Other' and Col70 is not null group by Col70"")),""select max(Col2)"",0),""Select *"",0),"" limit 1""),0))"),"")</f>
        <v/>
      </c>
      <c r="AL137" s="35" t="str">
        <f t="shared" si="10"/>
        <v/>
      </c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</row>
    <row r="138">
      <c r="A138" s="25">
        <v>33.0</v>
      </c>
      <c r="B138" s="26" t="s">
        <v>429</v>
      </c>
      <c r="C138" s="27" t="s">
        <v>430</v>
      </c>
      <c r="D138" s="28" t="s">
        <v>431</v>
      </c>
      <c r="E138" s="28" t="s">
        <v>46</v>
      </c>
      <c r="F138" s="28" t="s">
        <v>47</v>
      </c>
      <c r="G138" s="28" t="s">
        <v>132</v>
      </c>
      <c r="H138" s="29">
        <v>34.289639668381014</v>
      </c>
      <c r="I138" s="30">
        <v>21.801555901242978</v>
      </c>
      <c r="J138" s="30">
        <v>55.28767484865691</v>
      </c>
      <c r="K138" s="30">
        <v>17.269736842105264</v>
      </c>
      <c r="L138" s="31">
        <v>28.609285714285715</v>
      </c>
      <c r="M138" s="31">
        <v>35.221666666666664</v>
      </c>
      <c r="N138" s="31">
        <v>44.74733333333333</v>
      </c>
      <c r="O138" s="32" t="s">
        <v>80</v>
      </c>
      <c r="P138" s="32" t="s">
        <v>54</v>
      </c>
      <c r="Q138" s="32" t="s">
        <v>49</v>
      </c>
      <c r="R138" s="33" t="str">
        <f t="shared" si="1"/>
        <v>cap</v>
      </c>
      <c r="S138" s="34" t="str">
        <f>IFERROR(__xludf.DUMMYFUNCTION("IF(query(Data!A:M,CONCATENATE(""select Col13 where Col1 = '"",C138,""' and Col8 = 'Bias and Unfair Discrimination'""),0)&gt;70,1,0)"),"#REF!")</f>
        <v>#REF!</v>
      </c>
      <c r="T138" s="34" t="str">
        <f>IFERROR(__xludf.DUMMYFUNCTION("IF(query(Data!A:M,CONCATENATE(""select Col13 where Col1 = '"",C138,""' and Col8 = 'Childrens Rights'""),0)&gt;70,1,0)"),"#REF!")</f>
        <v>#REF!</v>
      </c>
      <c r="U138" s="34" t="str">
        <f>IFERROR(__xludf.DUMMYFUNCTION("IF(query(Data!A:M,CONCATENATE(""select Col13 where Col1 = '"",C138,""' and Col8 = 'Cultural and Linguistic Diversity'""),0)&gt;70,1,0)"),"#REF!")</f>
        <v>#REF!</v>
      </c>
      <c r="V138" s="34" t="str">
        <f>IFERROR(__xludf.DUMMYFUNCTION("IF(query(Data!A:M,CONCATENATE(""select Col13 where Col1 = '"",C138,""' and Col8 = 'Data Protection and Privacy'""),0)&gt;70,1,0)"),"#REF!")</f>
        <v>#REF!</v>
      </c>
      <c r="W138" s="34" t="str">
        <f>IFERROR(__xludf.DUMMYFUNCTION("IF(query(Data!A:M,CONCATENATE(""select Col13 where Col1 = '"",C138,""' and Col8 = 'Gender Equality'""),0)&gt;70,1,0)"),"#REF!")</f>
        <v>#REF!</v>
      </c>
      <c r="X138" s="34" t="str">
        <f>IFERROR(__xludf.DUMMYFUNCTION("IF(query(Data!A:M,CONCATENATE(""select Col13 where Col1 = '"",C138,""' and Col8 = 'Human Oversight and Determination'""),0)&gt;70,1,0)"),"#REF!")</f>
        <v>#REF!</v>
      </c>
      <c r="Y138" s="34" t="str">
        <f>IFERROR(__xludf.DUMMYFUNCTION("IF(query(Data!A:M,CONCATENATE(""select Col13 where Col1 = '"",C138,""' and Col8 = 'Labour Protection and Right to Work'""),0)&gt;70,1,0)"),"#REF!")</f>
        <v>#REF!</v>
      </c>
      <c r="Z138" s="34" t="str">
        <f>IFERROR(__xludf.DUMMYFUNCTION("IF(query(Data!A:M,CONCATENATE(""select Col13 where Col1 = '"",C138,""' and Col8 = 'Safety, Accuracy and Reliability'""),0)&gt;70,1,0)"),"#REF!")</f>
        <v>#REF!</v>
      </c>
      <c r="AA138" s="34" t="str">
        <f>IFERROR(__xludf.DUMMYFUNCTION("IF(query(Data!A:M,CONCATENATE(""select Col13 where Col1 = '"",C138,""' and Col8 = 'Transparency and Explainability'""),0)&gt;70,1,0)"),"#REF!")</f>
        <v>#REF!</v>
      </c>
      <c r="AB138" s="35">
        <f t="shared" si="2"/>
        <v>0</v>
      </c>
      <c r="AC138" s="35">
        <f t="shared" si="3"/>
        <v>0</v>
      </c>
      <c r="AD138" s="35">
        <f t="shared" si="4"/>
        <v>0</v>
      </c>
      <c r="AE138" s="35">
        <f t="shared" si="5"/>
        <v>0</v>
      </c>
      <c r="AF138" s="35">
        <f t="shared" si="6"/>
        <v>0</v>
      </c>
      <c r="AG138" s="35" t="str">
        <f t="shared" si="7"/>
        <v>No</v>
      </c>
      <c r="AH138" s="35" t="str">
        <f>IFERROR(__xludf.DUMMYFUNCTION("IFERROR(query(query(Data!A:BS,CONCATENATE(""select Col50, count(Col49) where Col1 = '"",C138,""' group by Col50"")), CONCATENATE(""select Col1 where Col2 = "",query(query(query(Data!A:BS,CONCATENATE(""select Col50, count(Col49) where Col1 = '"",C138,""' a"&amp;"nd Col50 &lt;&gt; 'Other' and Col50 is not null group by Col50"")),""select max(Col2)"",0),""Select *"",0),"" limit 1""),0))"),"")</f>
        <v/>
      </c>
      <c r="AI138" s="35" t="str">
        <f t="shared" si="8"/>
        <v/>
      </c>
      <c r="AJ138" s="35" t="str">
        <f t="shared" si="9"/>
        <v>No</v>
      </c>
      <c r="AK138" s="35" t="str">
        <f>IFERROR(__xludf.DUMMYFUNCTION("IFERROR(query(query(Data!A:BS,CONCATENATE(""select Col70, count(Col69) where Col1 = '"",C138,""' group by Col70"")), CONCATENATE(""select Col1 where Col2 = "",query(query(query(Data!A:BS,CONCATENATE(""select Col70, count(Col69) where Col1 = '"",C138,""' a"&amp;"nd Col70 &lt;&gt; 'Other' and Col70 is not null group by Col70"")),""select max(Col2)"",0),""Select *"",0),"" limit 1""),0))"),"")</f>
        <v/>
      </c>
      <c r="AL138" s="35" t="str">
        <f t="shared" si="10"/>
        <v/>
      </c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</row>
    <row r="139">
      <c r="A139" s="25">
        <v>92.0</v>
      </c>
      <c r="B139" s="26" t="s">
        <v>432</v>
      </c>
      <c r="C139" s="27" t="s">
        <v>433</v>
      </c>
      <c r="D139" s="28" t="s">
        <v>433</v>
      </c>
      <c r="E139" s="28" t="s">
        <v>74</v>
      </c>
      <c r="F139" s="28" t="s">
        <v>74</v>
      </c>
      <c r="G139" s="28" t="s">
        <v>106</v>
      </c>
      <c r="H139" s="29">
        <v>4.709533283835963</v>
      </c>
      <c r="I139" s="30">
        <v>2.6005461341456364</v>
      </c>
      <c r="J139" s="30">
        <v>6.870655496496902</v>
      </c>
      <c r="K139" s="30">
        <v>4.605263157894736</v>
      </c>
      <c r="L139" s="31">
        <v>4.073428571428571</v>
      </c>
      <c r="M139" s="31">
        <v>1.934</v>
      </c>
      <c r="N139" s="31">
        <v>14.520666666666665</v>
      </c>
      <c r="O139" s="32" t="s">
        <v>76</v>
      </c>
      <c r="P139" s="32" t="s">
        <v>76</v>
      </c>
      <c r="Q139" s="32" t="s">
        <v>54</v>
      </c>
      <c r="R139" s="33" t="str">
        <f t="shared" si="1"/>
        <v>cap</v>
      </c>
      <c r="S139" s="34" t="str">
        <f>IFERROR(__xludf.DUMMYFUNCTION("IF(query(Data!A:M,CONCATENATE(""select Col13 where Col1 = '"",C139,""' and Col8 = 'Bias and Unfair Discrimination'""),0)&gt;70,1,0)"),"#REF!")</f>
        <v>#REF!</v>
      </c>
      <c r="T139" s="34" t="str">
        <f>IFERROR(__xludf.DUMMYFUNCTION("IF(query(Data!A:M,CONCATENATE(""select Col13 where Col1 = '"",C139,""' and Col8 = 'Childrens Rights'""),0)&gt;70,1,0)"),"#REF!")</f>
        <v>#REF!</v>
      </c>
      <c r="U139" s="34" t="str">
        <f>IFERROR(__xludf.DUMMYFUNCTION("IF(query(Data!A:M,CONCATENATE(""select Col13 where Col1 = '"",C139,""' and Col8 = 'Cultural and Linguistic Diversity'""),0)&gt;70,1,0)"),"#REF!")</f>
        <v>#REF!</v>
      </c>
      <c r="V139" s="34" t="str">
        <f>IFERROR(__xludf.DUMMYFUNCTION("IF(query(Data!A:M,CONCATENATE(""select Col13 where Col1 = '"",C139,""' and Col8 = 'Data Protection and Privacy'""),0)&gt;70,1,0)"),"#REF!")</f>
        <v>#REF!</v>
      </c>
      <c r="W139" s="34" t="str">
        <f>IFERROR(__xludf.DUMMYFUNCTION("IF(query(Data!A:M,CONCATENATE(""select Col13 where Col1 = '"",C139,""' and Col8 = 'Gender Equality'""),0)&gt;70,1,0)"),"#REF!")</f>
        <v>#REF!</v>
      </c>
      <c r="X139" s="34" t="str">
        <f>IFERROR(__xludf.DUMMYFUNCTION("IF(query(Data!A:M,CONCATENATE(""select Col13 where Col1 = '"",C139,""' and Col8 = 'Human Oversight and Determination'""),0)&gt;70,1,0)"),"#REF!")</f>
        <v>#REF!</v>
      </c>
      <c r="Y139" s="34" t="str">
        <f>IFERROR(__xludf.DUMMYFUNCTION("IF(query(Data!A:M,CONCATENATE(""select Col13 where Col1 = '"",C139,""' and Col8 = 'Labour Protection and Right to Work'""),0)&gt;70,1,0)"),"#REF!")</f>
        <v>#REF!</v>
      </c>
      <c r="Z139" s="34" t="str">
        <f>IFERROR(__xludf.DUMMYFUNCTION("IF(query(Data!A:M,CONCATENATE(""select Col13 where Col1 = '"",C139,""' and Col8 = 'Safety, Accuracy and Reliability'""),0)&gt;70,1,0)"),"#REF!")</f>
        <v>#REF!</v>
      </c>
      <c r="AA139" s="34" t="str">
        <f>IFERROR(__xludf.DUMMYFUNCTION("IF(query(Data!A:M,CONCATENATE(""select Col13 where Col1 = '"",C139,""' and Col8 = 'Transparency and Explainability'""),0)&gt;70,1,0)"),"#REF!")</f>
        <v>#REF!</v>
      </c>
      <c r="AB139" s="35">
        <f t="shared" si="2"/>
        <v>0</v>
      </c>
      <c r="AC139" s="35">
        <f t="shared" si="3"/>
        <v>0</v>
      </c>
      <c r="AD139" s="35">
        <f t="shared" si="4"/>
        <v>0</v>
      </c>
      <c r="AE139" s="35">
        <f t="shared" si="5"/>
        <v>0</v>
      </c>
      <c r="AF139" s="35">
        <f t="shared" si="6"/>
        <v>0</v>
      </c>
      <c r="AG139" s="35" t="str">
        <f t="shared" si="7"/>
        <v>No</v>
      </c>
      <c r="AH139" s="35" t="str">
        <f>IFERROR(__xludf.DUMMYFUNCTION("IFERROR(query(query(Data!A:BS,CONCATENATE(""select Col50, count(Col49) where Col1 = '"",C139,""' group by Col50"")), CONCATENATE(""select Col1 where Col2 = "",query(query(query(Data!A:BS,CONCATENATE(""select Col50, count(Col49) where Col1 = '"",C139,""' a"&amp;"nd Col50 &lt;&gt; 'Other' and Col50 is not null group by Col50"")),""select max(Col2)"",0),""Select *"",0),"" limit 1""),0))"),"")</f>
        <v/>
      </c>
      <c r="AI139" s="35" t="str">
        <f t="shared" si="8"/>
        <v/>
      </c>
      <c r="AJ139" s="35" t="str">
        <f t="shared" si="9"/>
        <v>No</v>
      </c>
      <c r="AK139" s="35" t="str">
        <f>IFERROR(__xludf.DUMMYFUNCTION("IFERROR(query(query(Data!A:BS,CONCATENATE(""select Col70, count(Col69) where Col1 = '"",C139,""' group by Col70"")), CONCATENATE(""select Col1 where Col2 = "",query(query(query(Data!A:BS,CONCATENATE(""select Col70, count(Col69) where Col1 = '"",C139,""' a"&amp;"nd Col70 &lt;&gt; 'Other' and Col70 is not null group by Col70"")),""select max(Col2)"",0),""Select *"",0),"" limit 1""),0))"),"")</f>
        <v/>
      </c>
      <c r="AL139" s="35" t="str">
        <f t="shared" si="10"/>
        <v/>
      </c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</row>
    <row r="140">
      <c r="A140" s="25">
        <v>98.0</v>
      </c>
      <c r="B140" s="26" t="s">
        <v>434</v>
      </c>
      <c r="C140" s="27" t="s">
        <v>435</v>
      </c>
      <c r="D140" s="28" t="s">
        <v>436</v>
      </c>
      <c r="E140" s="28" t="s">
        <v>74</v>
      </c>
      <c r="F140" s="28" t="s">
        <v>74</v>
      </c>
      <c r="G140" s="28" t="s">
        <v>106</v>
      </c>
      <c r="H140" s="29">
        <v>3.6948237363915695</v>
      </c>
      <c r="I140" s="30">
        <v>3.339126128899424</v>
      </c>
      <c r="J140" s="30">
        <v>3.225235843658447</v>
      </c>
      <c r="K140" s="30">
        <v>5.345394736842105</v>
      </c>
      <c r="L140" s="31">
        <v>4.922285714285714</v>
      </c>
      <c r="M140" s="31">
        <v>0.0</v>
      </c>
      <c r="N140" s="31">
        <v>11.915333333333335</v>
      </c>
      <c r="O140" s="32" t="s">
        <v>49</v>
      </c>
      <c r="P140" s="32" t="s">
        <v>49</v>
      </c>
      <c r="Q140" s="32" t="s">
        <v>80</v>
      </c>
      <c r="R140" s="33" t="str">
        <f t="shared" si="1"/>
        <v>cap</v>
      </c>
      <c r="S140" s="34" t="str">
        <f>IFERROR(__xludf.DUMMYFUNCTION("IF(query(Data!A:M,CONCATENATE(""select Col13 where Col1 = '"",C140,""' and Col8 = 'Bias and Unfair Discrimination'""),0)&gt;70,1,0)"),"#REF!")</f>
        <v>#REF!</v>
      </c>
      <c r="T140" s="34" t="str">
        <f>IFERROR(__xludf.DUMMYFUNCTION("IF(query(Data!A:M,CONCATENATE(""select Col13 where Col1 = '"",C140,""' and Col8 = 'Childrens Rights'""),0)&gt;70,1,0)"),"#REF!")</f>
        <v>#REF!</v>
      </c>
      <c r="U140" s="34" t="str">
        <f>IFERROR(__xludf.DUMMYFUNCTION("IF(query(Data!A:M,CONCATENATE(""select Col13 where Col1 = '"",C140,""' and Col8 = 'Cultural and Linguistic Diversity'""),0)&gt;70,1,0)"),"#REF!")</f>
        <v>#REF!</v>
      </c>
      <c r="V140" s="34" t="str">
        <f>IFERROR(__xludf.DUMMYFUNCTION("IF(query(Data!A:M,CONCATENATE(""select Col13 where Col1 = '"",C140,""' and Col8 = 'Data Protection and Privacy'""),0)&gt;70,1,0)"),"#REF!")</f>
        <v>#REF!</v>
      </c>
      <c r="W140" s="34" t="str">
        <f>IFERROR(__xludf.DUMMYFUNCTION("IF(query(Data!A:M,CONCATENATE(""select Col13 where Col1 = '"",C140,""' and Col8 = 'Gender Equality'""),0)&gt;70,1,0)"),"#REF!")</f>
        <v>#REF!</v>
      </c>
      <c r="X140" s="34" t="str">
        <f>IFERROR(__xludf.DUMMYFUNCTION("IF(query(Data!A:M,CONCATENATE(""select Col13 where Col1 = '"",C140,""' and Col8 = 'Human Oversight and Determination'""),0)&gt;70,1,0)"),"#REF!")</f>
        <v>#REF!</v>
      </c>
      <c r="Y140" s="34" t="str">
        <f>IFERROR(__xludf.DUMMYFUNCTION("IF(query(Data!A:M,CONCATENATE(""select Col13 where Col1 = '"",C140,""' and Col8 = 'Labour Protection and Right to Work'""),0)&gt;70,1,0)"),"#REF!")</f>
        <v>#REF!</v>
      </c>
      <c r="Z140" s="34" t="str">
        <f>IFERROR(__xludf.DUMMYFUNCTION("IF(query(Data!A:M,CONCATENATE(""select Col13 where Col1 = '"",C140,""' and Col8 = 'Safety, Accuracy and Reliability'""),0)&gt;70,1,0)"),"#REF!")</f>
        <v>#REF!</v>
      </c>
      <c r="AA140" s="34" t="str">
        <f>IFERROR(__xludf.DUMMYFUNCTION("IF(query(Data!A:M,CONCATENATE(""select Col13 where Col1 = '"",C140,""' and Col8 = 'Transparency and Explainability'""),0)&gt;70,1,0)"),"#REF!")</f>
        <v>#REF!</v>
      </c>
      <c r="AB140" s="35">
        <f t="shared" si="2"/>
        <v>0</v>
      </c>
      <c r="AC140" s="35">
        <f t="shared" si="3"/>
        <v>0</v>
      </c>
      <c r="AD140" s="35">
        <f t="shared" si="4"/>
        <v>0</v>
      </c>
      <c r="AE140" s="35">
        <f t="shared" si="5"/>
        <v>0</v>
      </c>
      <c r="AF140" s="35">
        <f t="shared" si="6"/>
        <v>0</v>
      </c>
      <c r="AG140" s="35" t="str">
        <f t="shared" si="7"/>
        <v>No</v>
      </c>
      <c r="AH140" s="35" t="str">
        <f>IFERROR(__xludf.DUMMYFUNCTION("IFERROR(query(query(Data!A:BS,CONCATENATE(""select Col50, count(Col49) where Col1 = '"",C140,""' group by Col50"")), CONCATENATE(""select Col1 where Col2 = "",query(query(query(Data!A:BS,CONCATENATE(""select Col50, count(Col49) where Col1 = '"",C140,""' a"&amp;"nd Col50 &lt;&gt; 'Other' and Col50 is not null group by Col50"")),""select max(Col2)"",0),""Select *"",0),"" limit 1""),0))"),"")</f>
        <v/>
      </c>
      <c r="AI140" s="35" t="str">
        <f t="shared" si="8"/>
        <v/>
      </c>
      <c r="AJ140" s="35" t="str">
        <f t="shared" si="9"/>
        <v>No</v>
      </c>
      <c r="AK140" s="35" t="str">
        <f>IFERROR(__xludf.DUMMYFUNCTION("IFERROR(query(query(Data!A:BS,CONCATENATE(""select Col70, count(Col69) where Col1 = '"",C140,""' group by Col70"")), CONCATENATE(""select Col1 where Col2 = "",query(query(query(Data!A:BS,CONCATENATE(""select Col70, count(Col69) where Col1 = '"",C140,""' a"&amp;"nd Col70 &lt;&gt; 'Other' and Col70 is not null group by Col70"")),""select max(Col2)"",0),""Select *"",0),"" limit 1""),0))"),"")</f>
        <v/>
      </c>
      <c r="AL140" s="35" t="str">
        <f t="shared" si="10"/>
        <v/>
      </c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</row>
  </sheetData>
  <mergeCells count="4">
    <mergeCell ref="I1:K1"/>
    <mergeCell ref="L1:N1"/>
    <mergeCell ref="O1:Q1"/>
    <mergeCell ref="S1:AA1"/>
  </mergeCells>
  <drawing r:id="rId1"/>
</worksheet>
</file>